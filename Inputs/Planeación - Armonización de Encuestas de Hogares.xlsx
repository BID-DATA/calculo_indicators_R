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5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dcor_iadb_org/Documents/Documents/GitHub/calculo_indicators_R/Inputs/"/>
    </mc:Choice>
  </mc:AlternateContent>
  <xr:revisionPtr revIDLastSave="2940" documentId="13_ncr:1_{8AF7F83F-6557-4E4A-89D0-13E0BF5AF53F}" xr6:coauthVersionLast="47" xr6:coauthVersionMax="47" xr10:uidLastSave="{9D5CFD17-579B-4AD1-9325-3F8C835269F0}"/>
  <bookViews>
    <workbookView xWindow="54495" yWindow="0" windowWidth="26010" windowHeight="20985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0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86" i="10" l="1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AO88" i="10"/>
  <c r="AO87" i="10"/>
  <c r="AO85" i="10"/>
  <c r="AO84" i="10"/>
  <c r="AO83" i="10"/>
  <c r="AO82" i="10"/>
  <c r="AO81" i="10"/>
  <c r="AO80" i="10"/>
  <c r="AO79" i="10"/>
  <c r="AO78" i="10"/>
  <c r="AO77" i="10"/>
  <c r="AO76" i="10"/>
  <c r="AO75" i="10"/>
  <c r="AO74" i="10"/>
  <c r="AO73" i="10"/>
  <c r="AO72" i="10"/>
  <c r="AO71" i="10"/>
  <c r="AO70" i="10"/>
  <c r="AO69" i="10"/>
  <c r="AO68" i="10"/>
  <c r="AO67" i="10"/>
  <c r="AO66" i="10"/>
  <c r="AO65" i="10"/>
  <c r="AO64" i="10"/>
  <c r="AO63" i="10"/>
  <c r="AO62" i="10"/>
  <c r="AO61" i="10"/>
  <c r="AO60" i="10"/>
  <c r="AO59" i="10"/>
  <c r="AO58" i="10"/>
  <c r="AO57" i="10"/>
  <c r="AO56" i="10"/>
  <c r="AO55" i="10"/>
  <c r="AO54" i="10"/>
  <c r="AO53" i="10"/>
  <c r="AO52" i="10"/>
  <c r="AO51" i="10"/>
  <c r="AO50" i="10"/>
  <c r="AO49" i="10"/>
  <c r="AO48" i="10"/>
  <c r="AO47" i="10"/>
  <c r="AO46" i="10"/>
  <c r="AO45" i="10"/>
  <c r="AO44" i="10"/>
  <c r="AO43" i="10"/>
  <c r="AO42" i="10"/>
  <c r="AO41" i="10"/>
  <c r="AO40" i="10"/>
  <c r="AO39" i="10"/>
  <c r="AO38" i="10"/>
  <c r="AO37" i="10"/>
  <c r="AO36" i="10"/>
  <c r="AO35" i="10"/>
  <c r="AO34" i="10"/>
  <c r="AO33" i="10"/>
  <c r="AO32" i="10"/>
  <c r="AO31" i="10"/>
  <c r="AO30" i="10"/>
  <c r="AO29" i="10"/>
  <c r="AO28" i="10"/>
  <c r="AO27" i="10"/>
  <c r="AO26" i="10"/>
  <c r="AO25" i="10"/>
  <c r="AO24" i="10"/>
  <c r="AO23" i="10"/>
  <c r="AO22" i="10"/>
  <c r="AO21" i="10"/>
  <c r="AO20" i="10"/>
  <c r="AO19" i="10"/>
  <c r="AO18" i="10"/>
  <c r="AO17" i="10"/>
  <c r="AO16" i="10"/>
  <c r="AO15" i="10"/>
  <c r="AO14" i="10"/>
  <c r="AO13" i="10"/>
  <c r="AO12" i="10"/>
  <c r="AO11" i="10"/>
  <c r="AO10" i="10"/>
  <c r="AO9" i="10"/>
  <c r="AO8" i="10"/>
  <c r="AO7" i="10"/>
  <c r="AO6" i="10"/>
  <c r="AO5" i="10"/>
  <c r="AO4" i="10"/>
  <c r="AO3" i="10"/>
  <c r="AO2" i="10"/>
  <c r="V17" i="14"/>
  <c r="V4" i="14"/>
  <c r="AO89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5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<sst xmlns="http://schemas.openxmlformats.org/spreadsheetml/2006/main" count="1190" uniqueCount="507">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</sst>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4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5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O89" totalsRowShown="0" headerRowDxfId="44" headerRowBorderDxfId="43" tableBorderDxfId="42" totalsRowBorderDxfId="41" headerRowCellStyle="Normal 2">
  <autoFilter ref="A1:AO89" xr:uid="{227E27DD-A399-428B-89D5-9E5CE9864EEC}"/>
  <tableColumns count="41">
    <tableColumn id="1" xr3:uid="{6B064E87-3A0D-4584-8192-35267E66F273}" name="País" dataDxfId="40" dataCellStyle="Normal 2"/>
    <tableColumn id="2" xr3:uid="{56390F1F-7512-4FEB-8AF3-898CDB1A9830}" name="Encuesta" dataDxfId="39"/>
    <tableColumn id="38" xr3:uid="{76878665-537D-4B41-A64B-EA91CAA67E30}" name="access_right" dataDxfId="38" dataCellStyle="Normal 2"/>
    <tableColumn id="3" xr3:uid="{6E24555E-9D4B-4EA9-B227-AC82DC996508}" name="Ronda armonizada BID" dataDxfId="37" dataCellStyle="Normal 2"/>
    <tableColumn id="4" xr3:uid="{45B11BB2-5A64-4216-9E23-B09064B5C3D2}" name="1986" dataDxfId="36"/>
    <tableColumn id="5" xr3:uid="{04A2DE59-1034-4485-AEBE-2132D54461E9}" name="1989" dataDxfId="35"/>
    <tableColumn id="6" xr3:uid="{EAEE1B18-887D-43BC-8727-9C2CE724633C}" name="1990" dataDxfId="34"/>
    <tableColumn id="7" xr3:uid="{2F33A639-9FAC-4DD3-9BFC-CA80A8657ECF}" name="1991" dataDxfId="33"/>
    <tableColumn id="8" xr3:uid="{A1761052-3159-42ED-8624-97098C6DC00B}" name="1992" dataDxfId="32"/>
    <tableColumn id="9" xr3:uid="{42773BA5-F2A0-4A78-A2F8-53E0EE22B9D1}" name="1993" dataDxfId="31"/>
    <tableColumn id="10" xr3:uid="{67D3E1B3-E4EA-4C9C-9A36-8A6708B6D014}" name="1994" dataDxfId="30"/>
    <tableColumn id="11" xr3:uid="{9EDB3DE7-CCC0-4F5E-AE35-F4128DD66F39}" name="1995" dataDxfId="29"/>
    <tableColumn id="12" xr3:uid="{A93F6D39-B7E5-4461-A449-F7F40B9487C6}" name="1996" dataDxfId="28"/>
    <tableColumn id="13" xr3:uid="{F2DE6F08-B56D-4265-AF23-0C514E64DE66}" name="1997" dataDxfId="27"/>
    <tableColumn id="14" xr3:uid="{D6B69F96-5C92-432A-BAFD-FEE8EEAECCF7}" name="1998" dataDxfId="26"/>
    <tableColumn id="15" xr3:uid="{224E7F10-B175-477F-B101-6E70FB191A01}" name="1999" dataDxfId="25"/>
    <tableColumn id="16" xr3:uid="{15F72C33-3221-4279-A0CA-542684BB589E}" name="2000" dataDxfId="24"/>
    <tableColumn id="17" xr3:uid="{BDE0486B-DE3F-4D08-9ACF-0616D1D50D4D}" name="2001" dataDxfId="23"/>
    <tableColumn id="18" xr3:uid="{28FF96DB-7C31-4BFC-8548-98EF95161CFB}" name="2002" dataDxfId="22"/>
    <tableColumn id="19" xr3:uid="{2FA8F5BF-F645-4E81-A847-003D0E90C20F}" name="2003" dataDxfId="21"/>
    <tableColumn id="20" xr3:uid="{BCAB11DC-8BFA-42B6-9207-397B91E0B1C6}" name="2004" dataDxfId="20"/>
    <tableColumn id="21" xr3:uid="{17C2EC16-AE6A-4666-B47F-466CE1B378D5}" name="2005" dataDxfId="19"/>
    <tableColumn id="22" xr3:uid="{04F6B276-FCD1-401A-836E-177259B63A59}" name="2006" dataDxfId="18"/>
    <tableColumn id="23" xr3:uid="{B8B96EF9-EDFC-44DA-BC31-74726BE33B55}" name="2007" dataDxfId="17"/>
    <tableColumn id="24" xr3:uid="{E0460942-F274-4768-BF69-B887C868E5EC}" name="2008" dataDxfId="16"/>
    <tableColumn id="25" xr3:uid="{AD6CFE48-D83D-4F93-9F8B-B2BBEF937BAB}" name="2009" dataDxfId="15"/>
    <tableColumn id="26" xr3:uid="{7E598DF3-D7AE-4E66-AEB6-C288D8C67A98}" name="2010" dataDxfId="14"/>
    <tableColumn id="27" xr3:uid="{0DA6D22D-AAA5-484F-B916-0AEAB0E1BA51}" name="2011" dataDxfId="13"/>
    <tableColumn id="28" xr3:uid="{401D8801-8B1D-45B2-ABFD-F63694636C40}" name="2012" dataDxfId="12"/>
    <tableColumn id="29" xr3:uid="{B2F8A0D3-26CD-4E4B-8FAB-2CEE94A0DA7A}" name="2013" dataDxfId="11"/>
    <tableColumn id="30" xr3:uid="{AA7B0439-D20C-43DD-8146-5E5730473AB6}" name="2014" dataDxfId="10" dataCellStyle="Normal 2"/>
    <tableColumn id="31" xr3:uid="{90B20A4D-DBF3-4729-AEBF-A464C2AB96ED}" name="2015" dataDxfId="9" dataCellStyle="Normal 2"/>
    <tableColumn id="32" xr3:uid="{37632C06-0D2B-4432-A247-87237DD99DD7}" name="2016" dataDxfId="8"/>
    <tableColumn id="33" xr3:uid="{0E571E7E-B684-4111-9B7B-D0D871EBC2BF}" name="2017" dataDxfId="7"/>
    <tableColumn id="34" xr3:uid="{8F53FB35-C7B2-441A-BE88-62954F5D5B33}" name="2018" dataDxfId="6"/>
    <tableColumn id="35" xr3:uid="{C8F8A85B-85AD-444C-92E1-1CA28B02F84B}" name="2019" dataDxfId="5"/>
    <tableColumn id="36" xr3:uid="{1E2AD377-CC74-44E0-8152-9BA191ED06D8}" name="2020" dataDxfId="4"/>
    <tableColumn id="37" xr3:uid="{B7A3A7EC-85D3-46A0-9981-6CA826A96680}" name="2021" dataDxfId="3" dataCellStyle="Normal 2"/>
    <tableColumn id="40" xr3:uid="{537B0D14-850C-419A-B1CB-4E97FC19D51D}" name="2022" dataDxfId="2" dataCellStyle="Normal 2"/>
    <tableColumn id="41" xr3:uid="{045F6C2A-BE9D-402E-9DFC-1CC0BEE2F90C}" name="2023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5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3"/>
  <cols>
    <col min="1" max="1" width="6" style="52" customWidth="1"/>
    <col min="2" max="2" width="9.26953125" style="55" customWidth="1"/>
    <col min="3" max="3" width="17.54296875" style="55" customWidth="1"/>
    <col min="4" max="4" width="11" style="55" bestFit="1" customWidth="1"/>
    <col min="5" max="39" width="4.26953125" style="52" customWidth="1"/>
    <col min="40" max="40" width="12.26953125" style="52" customWidth="1"/>
    <col min="41" max="41" width="17.7265625" style="52" customWidth="1"/>
    <col min="42" max="42" width="14.453125" style="52" customWidth="1"/>
    <col min="43" max="45" width="9" style="53"/>
    <col min="46" max="16384" width="9" style="55"/>
  </cols>
  <sheetData>
    <row r="1" spans="1:75" ht="14.5" x14ac:dyDescent="0.3">
      <c r="B1" s="187" t="s">
        <v>0</v>
      </c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3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3">
      <c r="A3" s="145" t="b">
        <v>1</v>
      </c>
      <c r="B3" s="189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3">
      <c r="A4" s="145"/>
      <c r="B4" s="190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3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3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3">
      <c r="A7" s="145" t="b">
        <v>1</v>
      </c>
      <c r="B7" s="191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3">
      <c r="A8" s="145"/>
      <c r="B8" s="191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3">
      <c r="A9" s="145"/>
      <c r="B9" s="191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3">
      <c r="A10" s="145"/>
      <c r="B10" s="191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3">
      <c r="A11" s="145" t="b">
        <v>1</v>
      </c>
      <c r="B11" s="191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3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3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3">
      <c r="A14" s="145"/>
      <c r="B14" s="189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3">
      <c r="A15" s="145"/>
      <c r="B15" s="192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3">
      <c r="A16" s="145"/>
      <c r="B16" s="192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3">
      <c r="A17" s="145" t="b">
        <v>1</v>
      </c>
      <c r="B17" s="190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3">
      <c r="A18" s="145"/>
      <c r="B18" s="189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3">
      <c r="A19" s="145" t="b">
        <v>1</v>
      </c>
      <c r="B19" s="190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3">
      <c r="A20" s="145"/>
      <c r="B20" s="189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3">
      <c r="A21" s="145" t="b">
        <v>1</v>
      </c>
      <c r="B21" s="190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3">
      <c r="A22" s="145" t="b">
        <v>1</v>
      </c>
      <c r="B22" s="191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3">
      <c r="A23" s="145"/>
      <c r="B23" s="191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3">
      <c r="A24" s="145"/>
      <c r="B24" s="191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3">
      <c r="A25" s="145" t="b">
        <v>1</v>
      </c>
      <c r="B25" s="191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3">
      <c r="A26" s="145"/>
      <c r="B26" s="191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3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3">
      <c r="A28" s="145" t="b">
        <v>1</v>
      </c>
      <c r="B28" s="189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3">
      <c r="A29" s="145"/>
      <c r="B29" s="190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3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3">
      <c r="A31" s="145"/>
      <c r="B31" s="189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3">
      <c r="A32" s="145" t="b">
        <v>1</v>
      </c>
      <c r="B32" s="190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3">
      <c r="A33" s="145"/>
      <c r="B33" s="189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3">
      <c r="A34" s="145" t="b">
        <v>1</v>
      </c>
      <c r="B34" s="190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3">
      <c r="A35" s="145"/>
      <c r="B35" s="189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3">
      <c r="A36" s="145"/>
      <c r="B36" s="192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88">
        <v>1</v>
      </c>
      <c r="O36" s="188"/>
      <c r="P36" s="80"/>
      <c r="Q36" s="188">
        <v>1</v>
      </c>
      <c r="R36" s="188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3">
      <c r="A37" s="145"/>
      <c r="B37" s="192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3">
      <c r="A38" s="145" t="b">
        <v>1</v>
      </c>
      <c r="B38" s="190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3">
      <c r="A39" s="145" t="b">
        <v>1</v>
      </c>
      <c r="B39" s="189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3">
      <c r="A40" s="145"/>
      <c r="B40" s="190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3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3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3">
      <c r="A43" s="145"/>
      <c r="B43" s="189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3">
      <c r="A44" s="145" t="b">
        <v>1</v>
      </c>
      <c r="B44" s="190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3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3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3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3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3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3">
      <c r="AK51" s="149">
        <v>1</v>
      </c>
      <c r="AN51" s="52" t="s">
        <v>93</v>
      </c>
    </row>
    <row r="52" spans="3:41" ht="11.25" customHeight="1" x14ac:dyDescent="0.3">
      <c r="AK52" s="77">
        <v>1</v>
      </c>
      <c r="AL52" s="85"/>
      <c r="AM52" s="85"/>
      <c r="AN52" s="52" t="s">
        <v>94</v>
      </c>
    </row>
    <row r="53" spans="3:41" ht="11.25" customHeight="1" x14ac:dyDescent="0.3">
      <c r="AK53" s="82">
        <v>1</v>
      </c>
      <c r="AL53" s="85"/>
      <c r="AM53" s="85"/>
      <c r="AN53" s="52" t="s">
        <v>95</v>
      </c>
    </row>
    <row r="54" spans="3:41" ht="11.25" customHeight="1" x14ac:dyDescent="0.3">
      <c r="AK54" s="78">
        <v>1</v>
      </c>
      <c r="AL54" s="85"/>
      <c r="AM54" s="85"/>
      <c r="AN54" s="52" t="s">
        <v>96</v>
      </c>
    </row>
    <row r="58" spans="3:41" ht="11.25" customHeight="1" x14ac:dyDescent="0.3">
      <c r="C58" s="186" t="s">
        <v>97</v>
      </c>
      <c r="D58" s="186"/>
      <c r="E58" s="186"/>
      <c r="F58" s="186"/>
      <c r="G58" s="186"/>
      <c r="H58" s="186"/>
      <c r="I58" s="186"/>
      <c r="J58" s="186"/>
      <c r="K58" s="186"/>
      <c r="L58" s="186"/>
      <c r="M58" s="186"/>
      <c r="N58" s="186"/>
      <c r="O58" s="186"/>
      <c r="P58" s="186"/>
      <c r="Q58" s="186"/>
      <c r="R58" s="186"/>
      <c r="S58" s="186"/>
      <c r="T58" s="186"/>
      <c r="U58" s="186"/>
      <c r="V58" s="186"/>
      <c r="W58" s="186"/>
      <c r="X58" s="186"/>
      <c r="Y58" s="186"/>
      <c r="Z58" s="186"/>
      <c r="AA58" s="186"/>
      <c r="AB58" s="186"/>
      <c r="AC58" s="186"/>
      <c r="AD58" s="186"/>
      <c r="AE58" s="186"/>
      <c r="AF58" s="186"/>
      <c r="AG58" s="186"/>
      <c r="AH58" s="186"/>
      <c r="AI58" s="186"/>
      <c r="AJ58" s="186"/>
      <c r="AK58" s="186"/>
    </row>
    <row r="59" spans="3:41" ht="11.25" customHeight="1" x14ac:dyDescent="0.3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3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3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10:B11"/>
    <mergeCell ref="B43:B44"/>
    <mergeCell ref="C58:AK58"/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4.5" x14ac:dyDescent="0.35"/>
  <cols>
    <col min="1" max="1" width="13.1796875" bestFit="1" customWidth="1"/>
    <col min="2" max="21" width="18.453125" bestFit="1" customWidth="1"/>
  </cols>
  <sheetData>
    <row r="3" spans="1:22" x14ac:dyDescent="0.3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3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3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3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3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3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3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3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3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3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3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3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3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3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3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3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3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3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3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3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3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3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3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35">
      <c r="A26" s="173" t="s">
        <v>154</v>
      </c>
      <c r="K26">
        <v>1</v>
      </c>
      <c r="V26">
        <f t="shared" si="0"/>
        <v>1</v>
      </c>
    </row>
    <row r="27" spans="1:22" x14ac:dyDescent="0.3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3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3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35">
      <c r="A30" s="173" t="s">
        <v>89</v>
      </c>
      <c r="P30">
        <v>1</v>
      </c>
      <c r="V30">
        <f t="shared" si="0"/>
        <v>1</v>
      </c>
    </row>
    <row r="31" spans="1:22" x14ac:dyDescent="0.3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3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4.5" x14ac:dyDescent="0.35"/>
  <sheetData>
    <row r="1" spans="1:22" x14ac:dyDescent="0.3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3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3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3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3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3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3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3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3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3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3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3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3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3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3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3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3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3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3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3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3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35">
      <c r="A22" t="s">
        <v>483</v>
      </c>
      <c r="B22" t="s">
        <v>154</v>
      </c>
      <c r="L22">
        <v>1</v>
      </c>
    </row>
    <row r="23" spans="1:22" x14ac:dyDescent="0.3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3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3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35">
      <c r="A26" t="s">
        <v>483</v>
      </c>
      <c r="B26" t="s">
        <v>89</v>
      </c>
      <c r="Q26">
        <v>1</v>
      </c>
    </row>
    <row r="27" spans="1:22" x14ac:dyDescent="0.3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O89"/>
  <sheetViews>
    <sheetView tabSelected="1" topLeftCell="A36" zoomScale="90" zoomScaleNormal="90" workbookViewId="0">
      <pane xSplit="4" topLeftCell="Y1" activePane="topRight" state="frozen"/>
      <selection activeCell="B14" sqref="B14"/>
      <selection pane="topRight" activeCell="AN79" sqref="AN79"/>
    </sheetView>
  </sheetViews>
  <sheetFormatPr defaultColWidth="8.81640625" defaultRowHeight="14.5" outlineLevelCol="1" x14ac:dyDescent="0.35"/>
  <cols>
    <col min="3" max="3" width="12" style="100" bestFit="1" customWidth="1"/>
    <col min="4" max="4" width="13.1796875" bestFit="1" customWidth="1"/>
    <col min="5" max="5" width="8.1796875" style="100" bestFit="1" customWidth="1" outlineLevel="1"/>
    <col min="6" max="38" width="8.1796875" style="100" bestFit="1" customWidth="1"/>
    <col min="39" max="40" width="8.1796875" style="100" customWidth="1"/>
  </cols>
  <sheetData>
    <row r="1" spans="1:41" ht="24" x14ac:dyDescent="0.3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80" t="s">
        <v>90</v>
      </c>
    </row>
    <row r="2" spans="1:41" x14ac:dyDescent="0.3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8">
        <f>SUM(Table13[[#This Row],[1986]:[2021]])</f>
        <v>11</v>
      </c>
    </row>
    <row r="3" spans="1:41" x14ac:dyDescent="0.3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/>
      <c r="AO3" s="158">
        <f>SUM(Table13[[#This Row],[1986]:[2021]])</f>
        <v>18</v>
      </c>
    </row>
    <row r="4" spans="1:41" x14ac:dyDescent="0.3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60">
        <f>SUM(Table13[[#This Row],[1986]:[2021]])</f>
        <v>1</v>
      </c>
    </row>
    <row r="5" spans="1:41" x14ac:dyDescent="0.3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/>
      <c r="AD5" s="40">
        <v>1</v>
      </c>
      <c r="AE5" s="40">
        <v>1</v>
      </c>
      <c r="AF5" s="40"/>
      <c r="AG5" s="40"/>
      <c r="AH5" s="40"/>
      <c r="AI5" s="40"/>
      <c r="AJ5" s="40"/>
      <c r="AK5" s="40"/>
      <c r="AL5" s="69"/>
      <c r="AM5" s="159"/>
      <c r="AN5" s="159"/>
      <c r="AO5" s="158">
        <f>SUM(Table13[[#This Row],[1986]:[2021]])</f>
        <v>12</v>
      </c>
    </row>
    <row r="6" spans="1:41" x14ac:dyDescent="0.3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60">
        <f>SUM(Table13[[#This Row],[1986]:[2021]])</f>
        <v>8</v>
      </c>
    </row>
    <row r="7" spans="1:41" x14ac:dyDescent="0.3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8">
        <f>SUM(Table13[[#This Row],[1986]:[2021]])</f>
        <v>5</v>
      </c>
    </row>
    <row r="8" spans="1:41" x14ac:dyDescent="0.3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60">
        <f>SUM(Table13[[#This Row],[1986]:[2021]])</f>
        <v>1</v>
      </c>
    </row>
    <row r="9" spans="1:41" x14ac:dyDescent="0.3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8">
        <f>SUM(Table13[[#This Row],[1986]:[2021]])</f>
        <v>4</v>
      </c>
    </row>
    <row r="10" spans="1:41" x14ac:dyDescent="0.3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60">
        <f>SUM(Table13[[#This Row],[1986]:[2021]])</f>
        <v>1</v>
      </c>
    </row>
    <row r="11" spans="1:41" x14ac:dyDescent="0.3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60">
        <f>SUM(Table13[[#This Row],[1986]:[2021]])</f>
        <v>1</v>
      </c>
    </row>
    <row r="12" spans="1:41" x14ac:dyDescent="0.3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60">
        <f>SUM(Table13[[#This Row],[1986]:[2021]])</f>
        <v>1</v>
      </c>
    </row>
    <row r="13" spans="1:41" x14ac:dyDescent="0.3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8">
        <f>SUM(Table13[[#This Row],[1986]:[2021]])</f>
        <v>1</v>
      </c>
    </row>
    <row r="14" spans="1:41" x14ac:dyDescent="0.35">
      <c r="A14" s="157" t="s">
        <v>22</v>
      </c>
      <c r="B14" s="57" t="s">
        <v>23</v>
      </c>
      <c r="C14" s="69"/>
      <c r="D14" s="69" t="s">
        <v>24</v>
      </c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>
        <v>1</v>
      </c>
      <c r="Q14" s="80">
        <v>1</v>
      </c>
      <c r="R14" s="40"/>
      <c r="S14" s="40"/>
      <c r="T14" s="40"/>
      <c r="U14" s="80"/>
      <c r="V14" s="40"/>
      <c r="W14" s="40"/>
      <c r="X14" s="40"/>
      <c r="Y14" s="40"/>
      <c r="Z14" s="40"/>
      <c r="AA14" s="40"/>
      <c r="AB14" s="40"/>
      <c r="AC14" s="80">
        <v>1</v>
      </c>
      <c r="AD14" s="40">
        <v>1</v>
      </c>
      <c r="AE14" s="40">
        <v>1</v>
      </c>
      <c r="AF14" s="40">
        <v>1</v>
      </c>
      <c r="AG14" s="40">
        <v>1</v>
      </c>
      <c r="AH14" s="40">
        <v>1</v>
      </c>
      <c r="AI14" s="40">
        <v>1</v>
      </c>
      <c r="AJ14" s="40">
        <v>1</v>
      </c>
      <c r="AK14" s="40">
        <v>1</v>
      </c>
      <c r="AL14" s="69">
        <v>1</v>
      </c>
      <c r="AM14" s="159"/>
      <c r="AN14" s="159"/>
      <c r="AO14" s="158">
        <f>SUM(Table13[[#This Row],[1986]:[2021]])</f>
        <v>12</v>
      </c>
    </row>
    <row r="15" spans="1:41" x14ac:dyDescent="0.35">
      <c r="A15" s="157" t="s">
        <v>22</v>
      </c>
      <c r="B15" s="57" t="s">
        <v>23</v>
      </c>
      <c r="C15" s="69"/>
      <c r="D15" s="69" t="s">
        <v>143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>
        <v>1</v>
      </c>
      <c r="S15" s="80">
        <v>1</v>
      </c>
      <c r="T15" s="80">
        <v>1</v>
      </c>
      <c r="U15" s="80"/>
      <c r="V15" s="80">
        <v>1</v>
      </c>
      <c r="W15" s="80">
        <v>1</v>
      </c>
      <c r="X15" s="80">
        <v>1</v>
      </c>
      <c r="Y15" s="80">
        <v>1</v>
      </c>
      <c r="Z15" s="80">
        <v>1</v>
      </c>
      <c r="AA15" s="80"/>
      <c r="AB15" s="80">
        <v>1</v>
      </c>
      <c r="AC15" s="80"/>
      <c r="AD15" s="40"/>
      <c r="AE15" s="80"/>
      <c r="AF15" s="80"/>
      <c r="AG15" s="40"/>
      <c r="AH15" s="40"/>
      <c r="AI15" s="40"/>
      <c r="AJ15" s="40"/>
      <c r="AK15" s="40"/>
      <c r="AL15" s="159"/>
      <c r="AM15" s="171"/>
      <c r="AN15" s="171"/>
      <c r="AO15" s="160">
        <f>SUM(Table13[[#This Row],[1986]:[2021]])</f>
        <v>9</v>
      </c>
    </row>
    <row r="16" spans="1:41" x14ac:dyDescent="0.35">
      <c r="A16" s="157" t="s">
        <v>28</v>
      </c>
      <c r="B16" s="39" t="s">
        <v>29</v>
      </c>
      <c r="C16" s="162" t="s">
        <v>138</v>
      </c>
      <c r="D16" s="69" t="s">
        <v>144</v>
      </c>
      <c r="E16" s="80"/>
      <c r="F16" s="80"/>
      <c r="G16" s="80">
        <v>1</v>
      </c>
      <c r="H16" s="80"/>
      <c r="I16" s="80">
        <v>1</v>
      </c>
      <c r="J16" s="80">
        <v>1</v>
      </c>
      <c r="K16" s="80"/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/>
      <c r="R16" s="80">
        <v>1</v>
      </c>
      <c r="S16" s="80">
        <v>1</v>
      </c>
      <c r="T16" s="80">
        <v>1</v>
      </c>
      <c r="U16" s="80">
        <v>1</v>
      </c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>
        <v>1</v>
      </c>
      <c r="AD16" s="80">
        <v>1</v>
      </c>
      <c r="AE16" s="80">
        <v>1</v>
      </c>
      <c r="AF16" s="80">
        <v>1</v>
      </c>
      <c r="AG16" s="80"/>
      <c r="AH16" s="80"/>
      <c r="AI16" s="80"/>
      <c r="AJ16" s="80"/>
      <c r="AK16" s="80"/>
      <c r="AL16" s="69"/>
      <c r="AM16" s="159"/>
      <c r="AN16" s="159"/>
      <c r="AO16" s="158">
        <f>SUM(Table13[[#This Row],[1986]:[2021]])</f>
        <v>22</v>
      </c>
    </row>
    <row r="17" spans="1:41" x14ac:dyDescent="0.35">
      <c r="A17" s="157" t="s">
        <v>28</v>
      </c>
      <c r="B17" s="39" t="s">
        <v>30</v>
      </c>
      <c r="C17" s="162" t="s">
        <v>138</v>
      </c>
      <c r="D17" s="69" t="s">
        <v>17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>
        <v>1</v>
      </c>
      <c r="AH17" s="80">
        <v>1</v>
      </c>
      <c r="AI17" s="80">
        <v>1</v>
      </c>
      <c r="AJ17" s="80">
        <v>1</v>
      </c>
      <c r="AK17" s="80">
        <v>1</v>
      </c>
      <c r="AL17" s="69">
        <v>1</v>
      </c>
      <c r="AM17" s="159">
        <v>1</v>
      </c>
      <c r="AN17" s="159"/>
      <c r="AO17" s="158">
        <f>SUM(Table13[[#This Row],[1986]:[2021]])</f>
        <v>6</v>
      </c>
    </row>
    <row r="18" spans="1:41" x14ac:dyDescent="0.35">
      <c r="A18" s="157" t="s">
        <v>32</v>
      </c>
      <c r="B18" s="39" t="s">
        <v>33</v>
      </c>
      <c r="C18" s="162" t="s">
        <v>140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>
        <v>1</v>
      </c>
      <c r="R18" s="80"/>
      <c r="S18" s="80"/>
      <c r="T18" s="80"/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80">
        <v>1</v>
      </c>
      <c r="AB18" s="80">
        <v>1</v>
      </c>
      <c r="AC18" s="80">
        <v>1</v>
      </c>
      <c r="AD18" s="80">
        <v>1</v>
      </c>
      <c r="AE18" s="80">
        <v>1</v>
      </c>
      <c r="AF18" s="80">
        <v>1</v>
      </c>
      <c r="AG18" s="80"/>
      <c r="AH18" s="80"/>
      <c r="AI18" s="80"/>
      <c r="AJ18" s="80"/>
      <c r="AK18" s="80"/>
      <c r="AL18" s="69"/>
      <c r="AM18" s="159"/>
      <c r="AN18" s="159"/>
      <c r="AO18" s="158">
        <f>SUM(Table13[[#This Row],[1986]:[2021]])</f>
        <v>13</v>
      </c>
    </row>
    <row r="19" spans="1:41" x14ac:dyDescent="0.35">
      <c r="A19" s="157" t="s">
        <v>32</v>
      </c>
      <c r="B19" s="39" t="s">
        <v>33</v>
      </c>
      <c r="C19" s="162" t="s">
        <v>140</v>
      </c>
      <c r="D19" s="69" t="s">
        <v>145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>
        <v>1</v>
      </c>
      <c r="AH19" s="80"/>
      <c r="AI19" s="80"/>
      <c r="AJ19" s="80"/>
      <c r="AK19" s="80"/>
      <c r="AL19" s="159"/>
      <c r="AM19" s="171"/>
      <c r="AN19" s="171"/>
      <c r="AO19" s="160">
        <f>SUM(Table13[[#This Row],[1986]:[2021]])</f>
        <v>1</v>
      </c>
    </row>
    <row r="20" spans="1:41" x14ac:dyDescent="0.35">
      <c r="A20" s="157" t="s">
        <v>34</v>
      </c>
      <c r="B20" s="39" t="s">
        <v>35</v>
      </c>
      <c r="C20" s="162"/>
      <c r="D20" s="69" t="s">
        <v>143</v>
      </c>
      <c r="E20" s="80"/>
      <c r="F20" s="80"/>
      <c r="G20" s="80">
        <v>1</v>
      </c>
      <c r="H20" s="80"/>
      <c r="I20" s="80">
        <v>1</v>
      </c>
      <c r="J20" s="80"/>
      <c r="K20" s="80">
        <v>1</v>
      </c>
      <c r="L20" s="80"/>
      <c r="M20" s="80">
        <v>1</v>
      </c>
      <c r="N20" s="80"/>
      <c r="O20" s="80">
        <v>1</v>
      </c>
      <c r="P20" s="80"/>
      <c r="Q20" s="80">
        <v>1</v>
      </c>
      <c r="R20" s="80"/>
      <c r="S20" s="80"/>
      <c r="T20" s="80">
        <v>1</v>
      </c>
      <c r="U20" s="80"/>
      <c r="V20" s="80"/>
      <c r="W20" s="80">
        <v>1</v>
      </c>
      <c r="X20" s="80"/>
      <c r="Y20" s="80"/>
      <c r="Z20" s="80">
        <v>1</v>
      </c>
      <c r="AA20" s="80"/>
      <c r="AB20" s="40"/>
      <c r="AC20" s="40"/>
      <c r="AD20" s="40"/>
      <c r="AE20" s="80"/>
      <c r="AF20" s="80"/>
      <c r="AG20" s="40"/>
      <c r="AH20" s="40"/>
      <c r="AI20" s="40"/>
      <c r="AJ20" s="40"/>
      <c r="AK20" s="40"/>
      <c r="AL20" s="69"/>
      <c r="AM20" s="159"/>
      <c r="AN20" s="159"/>
      <c r="AO20" s="158">
        <f>SUM(Table13[[#This Row],[1986]:[2021]])</f>
        <v>9</v>
      </c>
    </row>
    <row r="21" spans="1:41" x14ac:dyDescent="0.35">
      <c r="A21" s="157" t="s">
        <v>34</v>
      </c>
      <c r="B21" s="39" t="s">
        <v>35</v>
      </c>
      <c r="C21" s="162"/>
      <c r="D21" s="69" t="s">
        <v>146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>
        <v>1</v>
      </c>
      <c r="AC21" s="80"/>
      <c r="AD21" s="40">
        <v>1</v>
      </c>
      <c r="AE21" s="40"/>
      <c r="AF21" s="40">
        <v>1</v>
      </c>
      <c r="AG21" s="40"/>
      <c r="AH21" s="40">
        <v>1</v>
      </c>
      <c r="AI21" s="40"/>
      <c r="AJ21" s="153"/>
      <c r="AK21" s="40">
        <v>1</v>
      </c>
      <c r="AL21" s="159"/>
      <c r="AM21" s="171">
        <v>1</v>
      </c>
      <c r="AN21" s="171"/>
      <c r="AO21" s="160">
        <f>SUM(Table13[[#This Row],[1986]:[2021]])</f>
        <v>5</v>
      </c>
    </row>
    <row r="22" spans="1:41" x14ac:dyDescent="0.35">
      <c r="A22" s="157" t="s">
        <v>38</v>
      </c>
      <c r="B22" s="39" t="s">
        <v>40</v>
      </c>
      <c r="C22" s="162"/>
      <c r="D22" s="69" t="s">
        <v>144</v>
      </c>
      <c r="E22" s="80"/>
      <c r="F22" s="80">
        <v>1</v>
      </c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/>
      <c r="S22" s="80"/>
      <c r="T22" s="80"/>
      <c r="U22" s="80"/>
      <c r="V22" s="80"/>
      <c r="W22" s="80"/>
      <c r="X22" s="80"/>
      <c r="Y22" s="80"/>
      <c r="Z22" s="80"/>
      <c r="AA22" s="80"/>
      <c r="AB22" s="80"/>
      <c r="AC22" s="80"/>
      <c r="AD22" s="40"/>
      <c r="AE22" s="40"/>
      <c r="AF22" s="40"/>
      <c r="AG22" s="40"/>
      <c r="AH22" s="40"/>
      <c r="AI22" s="40"/>
      <c r="AJ22" s="40"/>
      <c r="AK22" s="40"/>
      <c r="AL22" s="69"/>
      <c r="AM22" s="159"/>
      <c r="AN22" s="159"/>
      <c r="AO22" s="158">
        <f>SUM(Table13[[#This Row],[1986]:[2021]])</f>
        <v>12</v>
      </c>
    </row>
    <row r="23" spans="1:41" x14ac:dyDescent="0.35">
      <c r="A23" s="157" t="s">
        <v>38</v>
      </c>
      <c r="B23" s="39" t="s">
        <v>23</v>
      </c>
      <c r="C23" s="162" t="s">
        <v>138</v>
      </c>
      <c r="D23" s="69" t="s">
        <v>42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>
        <v>1</v>
      </c>
      <c r="S23" s="80">
        <v>1</v>
      </c>
      <c r="T23" s="80">
        <v>1</v>
      </c>
      <c r="U23" s="80">
        <v>1</v>
      </c>
      <c r="V23" s="80">
        <v>1</v>
      </c>
      <c r="W23" s="80"/>
      <c r="X23" s="80"/>
      <c r="Y23" s="40"/>
      <c r="Z23" s="80"/>
      <c r="AA23" s="80"/>
      <c r="AB23" s="80"/>
      <c r="AC23" s="80"/>
      <c r="AD23" s="40"/>
      <c r="AE23" s="40"/>
      <c r="AF23" s="40"/>
      <c r="AG23" s="40"/>
      <c r="AH23" s="40"/>
      <c r="AI23" s="40"/>
      <c r="AJ23" s="40"/>
      <c r="AK23" s="40"/>
      <c r="AL23" s="69"/>
      <c r="AM23" s="159"/>
      <c r="AN23" s="159"/>
      <c r="AO23" s="158">
        <f>SUM(Table13[[#This Row],[1986]:[2021]])</f>
        <v>5</v>
      </c>
    </row>
    <row r="24" spans="1:41" x14ac:dyDescent="0.35">
      <c r="A24" s="157" t="s">
        <v>38</v>
      </c>
      <c r="B24" s="39" t="s">
        <v>41</v>
      </c>
      <c r="C24" s="162" t="s">
        <v>138</v>
      </c>
      <c r="D24" s="69" t="s">
        <v>42</v>
      </c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>
        <v>1</v>
      </c>
      <c r="X24" s="80">
        <v>1</v>
      </c>
      <c r="Y24" s="80">
        <v>1</v>
      </c>
      <c r="Z24" s="80">
        <v>1</v>
      </c>
      <c r="AA24" s="80">
        <v>1</v>
      </c>
      <c r="AB24" s="80">
        <v>1</v>
      </c>
      <c r="AC24" s="80">
        <v>1</v>
      </c>
      <c r="AD24" s="80">
        <v>1</v>
      </c>
      <c r="AE24" s="80">
        <v>1</v>
      </c>
      <c r="AF24" s="80">
        <v>1</v>
      </c>
      <c r="AG24" s="80">
        <v>1</v>
      </c>
      <c r="AH24" s="80">
        <v>1</v>
      </c>
      <c r="AI24" s="80">
        <v>1</v>
      </c>
      <c r="AJ24" s="80">
        <v>1</v>
      </c>
      <c r="AK24" s="80"/>
      <c r="AL24" s="69">
        <v>1</v>
      </c>
      <c r="AM24" s="159">
        <v>1</v>
      </c>
      <c r="AN24" s="159"/>
      <c r="AO24" s="158">
        <f>SUM(Table13[[#This Row],[1986]:[2021]])</f>
        <v>15</v>
      </c>
    </row>
    <row r="25" spans="1:41" x14ac:dyDescent="0.35">
      <c r="A25" s="157" t="s">
        <v>38</v>
      </c>
      <c r="B25" s="39" t="s">
        <v>41</v>
      </c>
      <c r="C25" s="162" t="s">
        <v>138</v>
      </c>
      <c r="D25" s="69" t="s">
        <v>51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>
        <v>1</v>
      </c>
      <c r="AL25" s="159"/>
      <c r="AM25" s="171"/>
      <c r="AN25" s="171"/>
      <c r="AO25" s="160">
        <f>SUM(Table13[[#This Row],[1986]:[2021]])</f>
        <v>1</v>
      </c>
    </row>
    <row r="26" spans="1:41" x14ac:dyDescent="0.35">
      <c r="A26" s="157" t="s">
        <v>43</v>
      </c>
      <c r="B26" s="41" t="s">
        <v>44</v>
      </c>
      <c r="C26" s="145" t="s">
        <v>138</v>
      </c>
      <c r="D26" s="69" t="s">
        <v>46</v>
      </c>
      <c r="E26" s="40"/>
      <c r="F26" s="40"/>
      <c r="G26" s="80">
        <v>1</v>
      </c>
      <c r="H26" s="80">
        <v>1</v>
      </c>
      <c r="I26" s="80">
        <v>1</v>
      </c>
      <c r="J26" s="80">
        <v>1</v>
      </c>
      <c r="K26" s="80">
        <v>1</v>
      </c>
      <c r="L26" s="80">
        <v>1</v>
      </c>
      <c r="M26" s="80">
        <v>1</v>
      </c>
      <c r="N26" s="80">
        <v>1</v>
      </c>
      <c r="O26" s="80">
        <v>1</v>
      </c>
      <c r="P26" s="80">
        <v>1</v>
      </c>
      <c r="Q26" s="80">
        <v>1</v>
      </c>
      <c r="R26" s="80">
        <v>1</v>
      </c>
      <c r="S26" s="80">
        <v>1</v>
      </c>
      <c r="T26" s="80">
        <v>1</v>
      </c>
      <c r="U26" s="80">
        <v>1</v>
      </c>
      <c r="V26" s="80">
        <v>1</v>
      </c>
      <c r="W26" s="80">
        <v>1</v>
      </c>
      <c r="X26" s="80">
        <v>1</v>
      </c>
      <c r="Y26" s="80">
        <v>1</v>
      </c>
      <c r="Z26" s="80">
        <v>1</v>
      </c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69"/>
      <c r="AM26" s="159"/>
      <c r="AN26" s="159"/>
      <c r="AO26" s="158">
        <f>SUM(Table13[[#This Row],[1986]:[2021]])</f>
        <v>20</v>
      </c>
    </row>
    <row r="27" spans="1:41" x14ac:dyDescent="0.35">
      <c r="A27" s="157" t="s">
        <v>43</v>
      </c>
      <c r="B27" s="57" t="s">
        <v>45</v>
      </c>
      <c r="C27" s="69" t="s">
        <v>138</v>
      </c>
      <c r="D27" s="69" t="s">
        <v>46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>
        <v>1</v>
      </c>
      <c r="AK27" s="80">
        <v>1</v>
      </c>
      <c r="AL27" s="69">
        <v>1</v>
      </c>
      <c r="AM27" s="159">
        <v>1</v>
      </c>
      <c r="AN27" s="159"/>
      <c r="AO27" s="158">
        <f>SUM(Table13[[#This Row],[1986]:[2021]])</f>
        <v>12</v>
      </c>
    </row>
    <row r="28" spans="1:41" x14ac:dyDescent="0.35">
      <c r="A28" s="157" t="s">
        <v>48</v>
      </c>
      <c r="B28" s="57" t="s">
        <v>49</v>
      </c>
      <c r="C28" s="69" t="s">
        <v>140</v>
      </c>
      <c r="D28" s="69" t="s">
        <v>61</v>
      </c>
      <c r="E28" s="80"/>
      <c r="F28" s="80"/>
      <c r="G28" s="80"/>
      <c r="H28" s="80"/>
      <c r="I28" s="80"/>
      <c r="J28" s="80"/>
      <c r="K28" s="80"/>
      <c r="L28" s="80">
        <v>1</v>
      </c>
      <c r="M28" s="40"/>
      <c r="N28" s="4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159"/>
      <c r="AM28" s="171"/>
      <c r="AN28" s="171"/>
      <c r="AO28" s="160">
        <f>SUM(Table13[[#This Row],[1986]:[2021]])</f>
        <v>1</v>
      </c>
    </row>
    <row r="29" spans="1:41" x14ac:dyDescent="0.35">
      <c r="A29" s="157" t="s">
        <v>48</v>
      </c>
      <c r="B29" s="57" t="s">
        <v>49</v>
      </c>
      <c r="C29" s="69" t="s">
        <v>140</v>
      </c>
      <c r="D29" s="69" t="s">
        <v>147</v>
      </c>
      <c r="E29" s="80"/>
      <c r="F29" s="80"/>
      <c r="G29" s="80"/>
      <c r="H29" s="80"/>
      <c r="I29" s="80"/>
      <c r="J29" s="80"/>
      <c r="K29" s="80"/>
      <c r="L29" s="80"/>
      <c r="M29" s="80">
        <v>1</v>
      </c>
      <c r="N29" s="4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159"/>
      <c r="AM29" s="171"/>
      <c r="AN29" s="171"/>
      <c r="AO29" s="160">
        <f>SUM(Table13[[#This Row],[1986]:[2021]])</f>
        <v>1</v>
      </c>
    </row>
    <row r="30" spans="1:41" x14ac:dyDescent="0.35">
      <c r="A30" s="157" t="s">
        <v>48</v>
      </c>
      <c r="B30" s="57" t="s">
        <v>49</v>
      </c>
      <c r="C30" s="69" t="s">
        <v>140</v>
      </c>
      <c r="D30" s="69" t="s">
        <v>141</v>
      </c>
      <c r="E30" s="80"/>
      <c r="F30" s="80"/>
      <c r="G30" s="80"/>
      <c r="H30" s="80"/>
      <c r="I30" s="80"/>
      <c r="J30" s="80"/>
      <c r="K30" s="80"/>
      <c r="L30" s="80"/>
      <c r="M30" s="80"/>
      <c r="N30" s="80">
        <v>1</v>
      </c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60">
        <f>SUM(Table13[[#This Row],[1986]:[2021]])</f>
        <v>1</v>
      </c>
    </row>
    <row r="31" spans="1:41" x14ac:dyDescent="0.35">
      <c r="A31" s="157" t="s">
        <v>48</v>
      </c>
      <c r="B31" s="57" t="s">
        <v>49</v>
      </c>
      <c r="C31" s="69" t="s">
        <v>140</v>
      </c>
      <c r="D31" s="69" t="s">
        <v>137</v>
      </c>
      <c r="E31" s="80"/>
      <c r="F31" s="80"/>
      <c r="G31" s="80"/>
      <c r="H31" s="80"/>
      <c r="I31" s="80"/>
      <c r="J31" s="80"/>
      <c r="K31" s="80"/>
      <c r="L31" s="40"/>
      <c r="M31" s="40"/>
      <c r="N31" s="40"/>
      <c r="O31" s="80"/>
      <c r="P31" s="80"/>
      <c r="Q31" s="80">
        <v>1</v>
      </c>
      <c r="R31" s="80">
        <v>1</v>
      </c>
      <c r="S31" s="80">
        <v>1</v>
      </c>
      <c r="T31" s="80">
        <v>1</v>
      </c>
      <c r="U31" s="80">
        <v>1</v>
      </c>
      <c r="V31" s="80">
        <v>1</v>
      </c>
      <c r="W31" s="80">
        <v>1</v>
      </c>
      <c r="X31" s="80">
        <v>1</v>
      </c>
      <c r="Y31" s="80">
        <v>1</v>
      </c>
      <c r="Z31" s="80">
        <v>1</v>
      </c>
      <c r="AA31" s="80">
        <v>1</v>
      </c>
      <c r="AB31" s="80">
        <v>1</v>
      </c>
      <c r="AC31" s="80">
        <v>1</v>
      </c>
      <c r="AD31" s="80">
        <v>1</v>
      </c>
      <c r="AE31" s="80">
        <v>1</v>
      </c>
      <c r="AF31" s="80">
        <v>1</v>
      </c>
      <c r="AG31" s="80">
        <v>1</v>
      </c>
      <c r="AH31" s="80"/>
      <c r="AI31" s="80"/>
      <c r="AJ31" s="80"/>
      <c r="AK31" s="80"/>
      <c r="AL31" s="69"/>
      <c r="AM31" s="159"/>
      <c r="AN31" s="159"/>
      <c r="AO31" s="158">
        <f>SUM(Table13[[#This Row],[1986]:[2021]])</f>
        <v>17</v>
      </c>
    </row>
    <row r="32" spans="1:41" x14ac:dyDescent="0.35">
      <c r="A32" s="157" t="s">
        <v>48</v>
      </c>
      <c r="B32" s="57" t="s">
        <v>50</v>
      </c>
      <c r="C32" s="69" t="s">
        <v>140</v>
      </c>
      <c r="D32" s="69" t="s">
        <v>51</v>
      </c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>
        <v>1</v>
      </c>
      <c r="AI32" s="80">
        <v>1</v>
      </c>
      <c r="AJ32" s="80">
        <v>1</v>
      </c>
      <c r="AK32" s="80">
        <v>1</v>
      </c>
      <c r="AL32" s="69">
        <v>1</v>
      </c>
      <c r="AM32" s="159"/>
      <c r="AN32" s="159"/>
      <c r="AO32" s="158">
        <f>SUM(Table13[[#This Row],[1986]:[2021]])</f>
        <v>5</v>
      </c>
    </row>
    <row r="33" spans="1:41" x14ac:dyDescent="0.35">
      <c r="A33" s="157" t="s">
        <v>53</v>
      </c>
      <c r="B33" s="57" t="s">
        <v>54</v>
      </c>
      <c r="C33" s="69"/>
      <c r="D33" s="69" t="s">
        <v>24</v>
      </c>
      <c r="E33" s="80"/>
      <c r="F33" s="80"/>
      <c r="G33" s="80">
        <v>1</v>
      </c>
      <c r="H33" s="80">
        <v>1</v>
      </c>
      <c r="I33" s="80">
        <v>1</v>
      </c>
      <c r="J33" s="80">
        <v>1</v>
      </c>
      <c r="K33" s="80">
        <v>1</v>
      </c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/>
      <c r="S33" s="80">
        <v>1</v>
      </c>
      <c r="T33" s="80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159"/>
      <c r="AM33" s="171"/>
      <c r="AN33" s="171"/>
      <c r="AO33" s="160">
        <f>SUM(Table13[[#This Row],[1986]:[2021]])</f>
        <v>12</v>
      </c>
    </row>
    <row r="34" spans="1:41" x14ac:dyDescent="0.35">
      <c r="A34" s="157" t="s">
        <v>53</v>
      </c>
      <c r="B34" s="57" t="s">
        <v>54</v>
      </c>
      <c r="C34" s="69"/>
      <c r="D34" s="69" t="s">
        <v>55</v>
      </c>
      <c r="E34" s="80"/>
      <c r="F34" s="8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80">
        <v>1</v>
      </c>
      <c r="S34" s="40"/>
      <c r="T34" s="80">
        <v>1</v>
      </c>
      <c r="U34" s="80">
        <v>1</v>
      </c>
      <c r="V34" s="80">
        <v>1</v>
      </c>
      <c r="W34" s="80">
        <v>1</v>
      </c>
      <c r="X34" s="80">
        <v>1</v>
      </c>
      <c r="Y34" s="80">
        <v>1</v>
      </c>
      <c r="Z34" s="80">
        <v>1</v>
      </c>
      <c r="AA34" s="80">
        <v>1</v>
      </c>
      <c r="AB34" s="80">
        <v>1</v>
      </c>
      <c r="AC34" s="80">
        <v>1</v>
      </c>
      <c r="AD34" s="80">
        <v>1</v>
      </c>
      <c r="AE34" s="80">
        <v>1</v>
      </c>
      <c r="AF34" s="80">
        <v>1</v>
      </c>
      <c r="AG34" s="80">
        <v>1</v>
      </c>
      <c r="AH34" s="80">
        <v>1</v>
      </c>
      <c r="AI34" s="80">
        <v>1</v>
      </c>
      <c r="AJ34" s="80">
        <v>1</v>
      </c>
      <c r="AK34" s="80">
        <v>1</v>
      </c>
      <c r="AL34" s="69">
        <v>1</v>
      </c>
      <c r="AM34" s="159">
        <v>1</v>
      </c>
      <c r="AN34" s="159">
        <v>1</v>
      </c>
      <c r="AO34" s="158">
        <f>SUM(Table13[[#This Row],[1986]:[2021]])</f>
        <v>20</v>
      </c>
    </row>
    <row r="35" spans="1:41" x14ac:dyDescent="0.35">
      <c r="A35" s="157" t="s">
        <v>58</v>
      </c>
      <c r="B35" s="57" t="s">
        <v>59</v>
      </c>
      <c r="C35" s="69"/>
      <c r="D35" s="69" t="s">
        <v>148</v>
      </c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40"/>
      <c r="P35" s="40"/>
      <c r="Q35" s="80">
        <v>1</v>
      </c>
      <c r="R35" s="40"/>
      <c r="S35" s="40"/>
      <c r="T35" s="40"/>
      <c r="U35" s="40"/>
      <c r="V35" s="40"/>
      <c r="W35" s="80">
        <v>1</v>
      </c>
      <c r="X35" s="40"/>
      <c r="Y35" s="40"/>
      <c r="Z35" s="40"/>
      <c r="AA35" s="40"/>
      <c r="AB35" s="80"/>
      <c r="AC35" s="80"/>
      <c r="AD35" s="40"/>
      <c r="AE35" s="80"/>
      <c r="AF35" s="80"/>
      <c r="AG35" s="40"/>
      <c r="AH35" s="40"/>
      <c r="AI35" s="40"/>
      <c r="AJ35" s="40"/>
      <c r="AK35" s="40"/>
      <c r="AL35" s="159"/>
      <c r="AM35" s="171"/>
      <c r="AN35" s="171"/>
      <c r="AO35" s="160">
        <f>SUM(Table13[[#This Row],[1986]:[2021]])</f>
        <v>2</v>
      </c>
    </row>
    <row r="36" spans="1:41" x14ac:dyDescent="0.35">
      <c r="A36" s="157" t="s">
        <v>58</v>
      </c>
      <c r="B36" s="57" t="s">
        <v>60</v>
      </c>
      <c r="C36" s="69"/>
      <c r="D36" s="69" t="s">
        <v>149</v>
      </c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40"/>
      <c r="P36" s="40"/>
      <c r="Q36" s="80"/>
      <c r="R36" s="40"/>
      <c r="S36" s="40">
        <v>1</v>
      </c>
      <c r="T36" s="40"/>
      <c r="U36" s="40"/>
      <c r="V36" s="40"/>
      <c r="W36" s="80"/>
      <c r="X36" s="40"/>
      <c r="Y36" s="40"/>
      <c r="Z36" s="40"/>
      <c r="AA36" s="40"/>
      <c r="AB36" s="80"/>
      <c r="AC36" s="80"/>
      <c r="AD36" s="40"/>
      <c r="AE36" s="80"/>
      <c r="AF36" s="80"/>
      <c r="AG36" s="40"/>
      <c r="AH36" s="40"/>
      <c r="AI36" s="40"/>
      <c r="AJ36" s="40"/>
      <c r="AK36" s="40"/>
      <c r="AL36" s="159"/>
      <c r="AM36" s="171"/>
      <c r="AN36" s="171"/>
      <c r="AO36" s="160">
        <f>SUM(Table13[[#This Row],[1986]:[2021]])</f>
        <v>1</v>
      </c>
    </row>
    <row r="37" spans="1:41" x14ac:dyDescent="0.35">
      <c r="A37" s="157" t="s">
        <v>58</v>
      </c>
      <c r="B37" s="57" t="s">
        <v>60</v>
      </c>
      <c r="C37" s="69"/>
      <c r="D37" s="69" t="s">
        <v>150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/>
      <c r="R37" s="40"/>
      <c r="S37" s="40"/>
      <c r="T37" s="40">
        <v>1</v>
      </c>
      <c r="U37" s="40"/>
      <c r="V37" s="40"/>
      <c r="W37" s="80"/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60">
        <f>SUM(Table13[[#This Row],[1986]:[2021]])</f>
        <v>1</v>
      </c>
    </row>
    <row r="38" spans="1:41" x14ac:dyDescent="0.35">
      <c r="A38" s="157" t="s">
        <v>58</v>
      </c>
      <c r="B38" s="57" t="s">
        <v>60</v>
      </c>
      <c r="C38" s="69"/>
      <c r="D38" s="69" t="s">
        <v>151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/>
      <c r="U38" s="40">
        <v>1</v>
      </c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/>
      <c r="AO38" s="160">
        <f>SUM(Table13[[#This Row],[1986]:[2021]])</f>
        <v>1</v>
      </c>
    </row>
    <row r="39" spans="1:41" x14ac:dyDescent="0.35">
      <c r="A39" s="157" t="s">
        <v>58</v>
      </c>
      <c r="B39" s="57" t="s">
        <v>60</v>
      </c>
      <c r="C39" s="69"/>
      <c r="D39" s="69" t="s">
        <v>137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40"/>
      <c r="R39" s="40"/>
      <c r="S39" s="80"/>
      <c r="T39" s="80"/>
      <c r="U39" s="80"/>
      <c r="V39" s="40"/>
      <c r="W39" s="40"/>
      <c r="X39" s="40"/>
      <c r="Y39" s="40"/>
      <c r="Z39" s="40"/>
      <c r="AA39" s="80">
        <v>1</v>
      </c>
      <c r="AB39" s="80"/>
      <c r="AC39" s="80"/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161"/>
      <c r="AJ39" s="80"/>
      <c r="AK39" s="80"/>
      <c r="AL39" s="69">
        <v>1</v>
      </c>
      <c r="AM39" s="159"/>
      <c r="AN39" s="159"/>
      <c r="AO39" s="158">
        <f>SUM(Table13[[#This Row],[1986]:[2021]])</f>
        <v>7</v>
      </c>
    </row>
    <row r="40" spans="1:41" x14ac:dyDescent="0.35">
      <c r="A40" s="181" t="s">
        <v>58</v>
      </c>
      <c r="B40" s="182" t="s">
        <v>60</v>
      </c>
      <c r="C40" s="161"/>
      <c r="D40" s="161" t="s">
        <v>24</v>
      </c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53"/>
      <c r="P40" s="153"/>
      <c r="Q40" s="153"/>
      <c r="R40" s="153"/>
      <c r="S40" s="161"/>
      <c r="T40" s="161"/>
      <c r="U40" s="161"/>
      <c r="V40" s="153"/>
      <c r="W40" s="153"/>
      <c r="X40" s="153"/>
      <c r="Y40" s="153"/>
      <c r="Z40" s="153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83"/>
      <c r="AM40" s="184">
        <v>1</v>
      </c>
      <c r="AN40" s="184"/>
      <c r="AO40" s="185">
        <f>SUM(Table13[[#This Row],[1986]:[2021]])</f>
        <v>0</v>
      </c>
    </row>
    <row r="41" spans="1:41" x14ac:dyDescent="0.35">
      <c r="A41" s="157" t="s">
        <v>58</v>
      </c>
      <c r="B41" s="57" t="s">
        <v>60</v>
      </c>
      <c r="C41" s="69"/>
      <c r="D41" s="69" t="s">
        <v>152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40"/>
      <c r="R41" s="40"/>
      <c r="S41" s="80"/>
      <c r="T41" s="80"/>
      <c r="U41" s="80"/>
      <c r="V41" s="40"/>
      <c r="W41" s="40"/>
      <c r="X41" s="40"/>
      <c r="Y41" s="40"/>
      <c r="Z41" s="40"/>
      <c r="AA41" s="80"/>
      <c r="AB41" s="80">
        <v>1</v>
      </c>
      <c r="AC41" s="80">
        <v>1</v>
      </c>
      <c r="AD41" s="80"/>
      <c r="AE41" s="80"/>
      <c r="AF41" s="80"/>
      <c r="AG41" s="80"/>
      <c r="AH41" s="80"/>
      <c r="AI41" s="80"/>
      <c r="AJ41" s="80"/>
      <c r="AK41" s="80"/>
      <c r="AL41" s="159"/>
      <c r="AM41" s="171"/>
      <c r="AN41" s="171"/>
      <c r="AO41" s="160">
        <f>SUM(Table13[[#This Row],[1986]:[2021]])</f>
        <v>2</v>
      </c>
    </row>
    <row r="42" spans="1:41" x14ac:dyDescent="0.35">
      <c r="A42" s="157" t="s">
        <v>58</v>
      </c>
      <c r="B42" s="57" t="s">
        <v>60</v>
      </c>
      <c r="C42" s="69"/>
      <c r="D42" s="69" t="s">
        <v>61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/>
      <c r="AB42" s="80"/>
      <c r="AC42" s="80"/>
      <c r="AD42" s="80"/>
      <c r="AE42" s="80"/>
      <c r="AF42" s="80"/>
      <c r="AG42" s="80"/>
      <c r="AH42" s="80"/>
      <c r="AI42" s="80">
        <v>1</v>
      </c>
      <c r="AJ42" s="80">
        <v>1</v>
      </c>
      <c r="AK42" s="80"/>
      <c r="AL42" s="159"/>
      <c r="AM42" s="171"/>
      <c r="AN42" s="171"/>
      <c r="AO42" s="160">
        <f>SUM(Table13[[#This Row],[1986]:[2021]])</f>
        <v>2</v>
      </c>
    </row>
    <row r="43" spans="1:41" x14ac:dyDescent="0.35">
      <c r="A43" s="157" t="s">
        <v>63</v>
      </c>
      <c r="B43" s="57" t="s">
        <v>64</v>
      </c>
      <c r="C43" s="69"/>
      <c r="D43" s="69" t="s">
        <v>144</v>
      </c>
      <c r="E43" s="80">
        <v>1</v>
      </c>
      <c r="F43" s="80">
        <v>1</v>
      </c>
      <c r="G43" s="80">
        <v>1</v>
      </c>
      <c r="H43" s="80"/>
      <c r="I43" s="153">
        <v>1</v>
      </c>
      <c r="J43" s="40"/>
      <c r="K43" s="40"/>
      <c r="L43" s="40"/>
      <c r="M43" s="80">
        <v>1</v>
      </c>
      <c r="N43" s="80">
        <v>1</v>
      </c>
      <c r="O43" s="80">
        <v>1</v>
      </c>
      <c r="P43" s="80">
        <v>1</v>
      </c>
      <c r="Q43" s="80"/>
      <c r="R43" s="80">
        <v>1</v>
      </c>
      <c r="S43" s="40">
        <v>1</v>
      </c>
      <c r="T43" s="80">
        <v>1</v>
      </c>
      <c r="U43" s="40"/>
      <c r="V43" s="40"/>
      <c r="W43" s="80">
        <v>1</v>
      </c>
      <c r="X43" s="80">
        <v>1</v>
      </c>
      <c r="Y43" s="40"/>
      <c r="Z43" s="40"/>
      <c r="AA43" s="40"/>
      <c r="AB43" s="40"/>
      <c r="AC43" s="40"/>
      <c r="AD43" s="40"/>
      <c r="AE43" s="80"/>
      <c r="AF43" s="80"/>
      <c r="AG43" s="40"/>
      <c r="AH43" s="40"/>
      <c r="AI43" s="40"/>
      <c r="AJ43" s="40"/>
      <c r="AK43" s="80"/>
      <c r="AL43" s="69"/>
      <c r="AM43" s="159"/>
      <c r="AN43" s="159"/>
      <c r="AO43" s="158">
        <f>SUM(Table13[[#This Row],[1986]:[2021]])</f>
        <v>13</v>
      </c>
    </row>
    <row r="44" spans="1:41" x14ac:dyDescent="0.35">
      <c r="A44" s="157" t="s">
        <v>63</v>
      </c>
      <c r="B44" s="57" t="s">
        <v>64</v>
      </c>
      <c r="C44" s="69"/>
      <c r="D44" s="69" t="s">
        <v>78</v>
      </c>
      <c r="E44" s="80"/>
      <c r="F44" s="80"/>
      <c r="G44" s="80"/>
      <c r="H44" s="161">
        <v>1</v>
      </c>
      <c r="I44" s="80"/>
      <c r="J44" s="4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>
        <v>1</v>
      </c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159"/>
      <c r="AM44" s="171"/>
      <c r="AN44" s="171"/>
      <c r="AO44" s="160">
        <f>SUM(Table13[[#This Row],[1986]:[2021]])</f>
        <v>2</v>
      </c>
    </row>
    <row r="45" spans="1:41" x14ac:dyDescent="0.35">
      <c r="A45" s="157" t="s">
        <v>63</v>
      </c>
      <c r="B45" s="57" t="s">
        <v>64</v>
      </c>
      <c r="C45" s="69"/>
      <c r="D45" s="69" t="s">
        <v>137</v>
      </c>
      <c r="E45" s="80"/>
      <c r="F45" s="80"/>
      <c r="G45" s="80"/>
      <c r="H45" s="80"/>
      <c r="I45" s="80"/>
      <c r="J45" s="80">
        <v>1</v>
      </c>
      <c r="K45" s="80">
        <v>1</v>
      </c>
      <c r="L45" s="80">
        <v>1</v>
      </c>
      <c r="M45" s="80"/>
      <c r="N45" s="80"/>
      <c r="O45" s="80"/>
      <c r="P45" s="80"/>
      <c r="Q45" s="80"/>
      <c r="R45" s="80"/>
      <c r="S45" s="80"/>
      <c r="T45" s="80"/>
      <c r="U45" s="80"/>
      <c r="V45" s="80">
        <v>1</v>
      </c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60">
        <f>SUM(Table13[[#This Row],[1986]:[2021]])</f>
        <v>4</v>
      </c>
    </row>
    <row r="46" spans="1:41" x14ac:dyDescent="0.35">
      <c r="A46" s="157" t="s">
        <v>63</v>
      </c>
      <c r="B46" s="57" t="s">
        <v>64</v>
      </c>
      <c r="C46" s="69"/>
      <c r="D46" s="69" t="s">
        <v>153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>
        <v>1</v>
      </c>
      <c r="Z46" s="80">
        <v>1</v>
      </c>
      <c r="AA46" s="80">
        <v>1</v>
      </c>
      <c r="AB46" s="80">
        <v>1</v>
      </c>
      <c r="AC46" s="80">
        <v>1</v>
      </c>
      <c r="AD46" s="80">
        <v>1</v>
      </c>
      <c r="AE46" s="80"/>
      <c r="AF46" s="80"/>
      <c r="AG46" s="80"/>
      <c r="AH46" s="80"/>
      <c r="AI46" s="80"/>
      <c r="AJ46" s="80"/>
      <c r="AK46" s="80"/>
      <c r="AL46" s="159"/>
      <c r="AM46" s="171"/>
      <c r="AN46" s="171"/>
      <c r="AO46" s="160">
        <f>SUM(Table13[[#This Row],[1986]:[2021]])</f>
        <v>6</v>
      </c>
    </row>
    <row r="47" spans="1:41" x14ac:dyDescent="0.35">
      <c r="A47" s="157" t="s">
        <v>63</v>
      </c>
      <c r="B47" s="57" t="s">
        <v>64</v>
      </c>
      <c r="C47" s="69"/>
      <c r="D47" s="69" t="s">
        <v>61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>
        <v>1</v>
      </c>
      <c r="AF47" s="80">
        <v>1</v>
      </c>
      <c r="AG47" s="80">
        <v>1</v>
      </c>
      <c r="AH47" s="80">
        <v>1</v>
      </c>
      <c r="AI47" s="80">
        <v>1</v>
      </c>
      <c r="AJ47" s="80">
        <v>1</v>
      </c>
      <c r="AK47" s="80"/>
      <c r="AL47" s="159"/>
      <c r="AM47" s="171">
        <v>1</v>
      </c>
      <c r="AN47" s="171">
        <v>1</v>
      </c>
      <c r="AO47" s="160">
        <f>SUM(Table13[[#This Row],[1986]:[2021]])</f>
        <v>6</v>
      </c>
    </row>
    <row r="48" spans="1:41" x14ac:dyDescent="0.35">
      <c r="A48" s="157" t="s">
        <v>154</v>
      </c>
      <c r="B48" s="57" t="s">
        <v>155</v>
      </c>
      <c r="C48" s="163"/>
      <c r="D48" s="69" t="s">
        <v>70</v>
      </c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  <c r="AA48" s="80"/>
      <c r="AB48" s="80"/>
      <c r="AC48" s="80">
        <v>1</v>
      </c>
      <c r="AD48" s="80"/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60">
        <f>SUM(Table13[[#This Row],[1986]:[2021]])</f>
        <v>1</v>
      </c>
    </row>
    <row r="49" spans="1:41" x14ac:dyDescent="0.35">
      <c r="A49" s="157" t="s">
        <v>65</v>
      </c>
      <c r="B49" s="57" t="s">
        <v>16</v>
      </c>
      <c r="C49" s="69" t="s">
        <v>140</v>
      </c>
      <c r="D49" s="161" t="s">
        <v>505</v>
      </c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>
        <v>1</v>
      </c>
      <c r="AH49" s="80"/>
      <c r="AI49" s="80"/>
      <c r="AJ49" s="80"/>
      <c r="AK49" s="80">
        <v>1</v>
      </c>
      <c r="AL49" s="159"/>
      <c r="AM49" s="171"/>
      <c r="AN49" s="171"/>
      <c r="AO49" s="160">
        <f>SUM(Table13[[#This Row],[1986]:[2021]])</f>
        <v>2</v>
      </c>
    </row>
    <row r="50" spans="1:41" x14ac:dyDescent="0.35">
      <c r="A50" s="157" t="s">
        <v>65</v>
      </c>
      <c r="B50" s="57" t="s">
        <v>16</v>
      </c>
      <c r="C50" s="69" t="s">
        <v>140</v>
      </c>
      <c r="D50" s="69" t="s">
        <v>141</v>
      </c>
      <c r="E50" s="80"/>
      <c r="F50" s="80"/>
      <c r="G50" s="80">
        <v>1</v>
      </c>
      <c r="H50" s="80"/>
      <c r="I50" s="80"/>
      <c r="J50" s="80">
        <v>1</v>
      </c>
      <c r="K50" s="80">
        <v>1</v>
      </c>
      <c r="L50" s="80"/>
      <c r="M50" s="80"/>
      <c r="N50" s="80">
        <v>1</v>
      </c>
      <c r="O50" s="80">
        <v>1</v>
      </c>
      <c r="P50" s="80">
        <v>1</v>
      </c>
      <c r="Q50" s="80">
        <v>1</v>
      </c>
      <c r="R50" s="80">
        <v>1</v>
      </c>
      <c r="S50" s="80">
        <v>1</v>
      </c>
      <c r="T50" s="80">
        <v>1</v>
      </c>
      <c r="U50" s="80">
        <v>1</v>
      </c>
      <c r="V50" s="80">
        <v>1</v>
      </c>
      <c r="W50" s="80">
        <v>1</v>
      </c>
      <c r="X50" s="80">
        <v>1</v>
      </c>
      <c r="Y50" s="80">
        <v>1</v>
      </c>
      <c r="Z50" s="80">
        <v>1</v>
      </c>
      <c r="AA50" s="80">
        <v>1</v>
      </c>
      <c r="AB50" s="80"/>
      <c r="AC50" s="80">
        <v>1</v>
      </c>
      <c r="AD50" s="40">
        <v>1</v>
      </c>
      <c r="AE50" s="40">
        <v>1</v>
      </c>
      <c r="AF50" s="40"/>
      <c r="AG50" s="69"/>
      <c r="AH50" s="40"/>
      <c r="AI50" s="40"/>
      <c r="AJ50" s="40">
        <v>1</v>
      </c>
      <c r="AK50" s="40"/>
      <c r="AL50" s="69"/>
      <c r="AM50" s="159"/>
      <c r="AN50" s="159"/>
      <c r="AO50" s="158">
        <f>SUM(Table13[[#This Row],[1986]:[2021]])</f>
        <v>21</v>
      </c>
    </row>
    <row r="51" spans="1:41" x14ac:dyDescent="0.35">
      <c r="A51" s="157" t="s">
        <v>65</v>
      </c>
      <c r="B51" s="57" t="s">
        <v>16</v>
      </c>
      <c r="C51" s="69" t="s">
        <v>140</v>
      </c>
      <c r="D51" s="161" t="s">
        <v>153</v>
      </c>
      <c r="E51" s="80"/>
      <c r="F51" s="80"/>
      <c r="G51" s="80"/>
      <c r="H51" s="80">
        <v>1</v>
      </c>
      <c r="I51" s="80">
        <v>1</v>
      </c>
      <c r="J51" s="80"/>
      <c r="K51" s="80"/>
      <c r="L51" s="80">
        <v>1</v>
      </c>
      <c r="M51" s="80">
        <v>1</v>
      </c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40"/>
      <c r="AE51" s="40"/>
      <c r="AF51" s="40"/>
      <c r="AG51" s="69"/>
      <c r="AH51" s="40"/>
      <c r="AI51" s="40"/>
      <c r="AJ51" s="40"/>
      <c r="AK51" s="40"/>
      <c r="AL51" s="69"/>
      <c r="AM51" s="159"/>
      <c r="AN51" s="159"/>
      <c r="AO51" s="158">
        <f>SUM(Table13[[#This Row],[1986]:[2021]])</f>
        <v>4</v>
      </c>
    </row>
    <row r="52" spans="1:41" x14ac:dyDescent="0.35">
      <c r="A52" s="157" t="s">
        <v>68</v>
      </c>
      <c r="B52" s="57" t="s">
        <v>69</v>
      </c>
      <c r="C52" s="69"/>
      <c r="D52" s="69" t="s">
        <v>156</v>
      </c>
      <c r="E52" s="80"/>
      <c r="F52" s="80"/>
      <c r="G52" s="80"/>
      <c r="H52" s="80"/>
      <c r="I52" s="80">
        <v>1</v>
      </c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>
        <v>1</v>
      </c>
      <c r="V52" s="80">
        <v>1</v>
      </c>
      <c r="W52" s="80">
        <v>1</v>
      </c>
      <c r="X52" s="80"/>
      <c r="Y52" s="80">
        <v>1</v>
      </c>
      <c r="Z52" s="80"/>
      <c r="AA52" s="80">
        <v>1</v>
      </c>
      <c r="AB52" s="80"/>
      <c r="AC52" s="80"/>
      <c r="AD52" s="40"/>
      <c r="AE52" s="80"/>
      <c r="AF52" s="80"/>
      <c r="AG52" s="40"/>
      <c r="AH52" s="40"/>
      <c r="AI52" s="40"/>
      <c r="AJ52" s="40"/>
      <c r="AK52" s="40"/>
      <c r="AL52" s="159"/>
      <c r="AM52" s="171"/>
      <c r="AN52" s="171"/>
      <c r="AO52" s="160">
        <f>SUM(Table13[[#This Row],[1986]:[2021]])</f>
        <v>6</v>
      </c>
    </row>
    <row r="53" spans="1:41" x14ac:dyDescent="0.35">
      <c r="A53" s="157" t="s">
        <v>68</v>
      </c>
      <c r="B53" s="57" t="s">
        <v>69</v>
      </c>
      <c r="C53" s="69"/>
      <c r="D53" s="69" t="s">
        <v>157</v>
      </c>
      <c r="E53" s="80"/>
      <c r="F53" s="80"/>
      <c r="G53" s="80"/>
      <c r="H53" s="80"/>
      <c r="I53" s="80"/>
      <c r="J53" s="80"/>
      <c r="K53" s="80">
        <v>1</v>
      </c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40"/>
      <c r="AE53" s="80"/>
      <c r="AF53" s="80"/>
      <c r="AG53" s="40"/>
      <c r="AH53" s="40"/>
      <c r="AI53" s="40"/>
      <c r="AJ53" s="40"/>
      <c r="AK53" s="40"/>
      <c r="AL53" s="159"/>
      <c r="AM53" s="171"/>
      <c r="AN53" s="171"/>
      <c r="AO53" s="160">
        <f>SUM(Table13[[#This Row],[1986]:[2021]])</f>
        <v>1</v>
      </c>
    </row>
    <row r="54" spans="1:41" x14ac:dyDescent="0.35">
      <c r="A54" s="157" t="s">
        <v>68</v>
      </c>
      <c r="B54" s="57" t="s">
        <v>69</v>
      </c>
      <c r="C54" s="69"/>
      <c r="D54" s="69" t="s">
        <v>158</v>
      </c>
      <c r="E54" s="80"/>
      <c r="F54" s="80"/>
      <c r="G54" s="80"/>
      <c r="H54" s="80"/>
      <c r="I54" s="80"/>
      <c r="J54" s="80"/>
      <c r="K54" s="80"/>
      <c r="L54" s="80"/>
      <c r="M54" s="80">
        <v>1</v>
      </c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  <c r="AA54" s="80"/>
      <c r="AB54" s="80"/>
      <c r="AC54" s="80"/>
      <c r="AD54" s="40"/>
      <c r="AE54" s="80"/>
      <c r="AF54" s="80"/>
      <c r="AG54" s="40"/>
      <c r="AH54" s="40"/>
      <c r="AI54" s="40"/>
      <c r="AJ54" s="40"/>
      <c r="AK54" s="40"/>
      <c r="AL54" s="159"/>
      <c r="AM54" s="171"/>
      <c r="AN54" s="171"/>
      <c r="AO54" s="160">
        <f>SUM(Table13[[#This Row],[1986]:[2021]])</f>
        <v>1</v>
      </c>
    </row>
    <row r="55" spans="1:41" x14ac:dyDescent="0.35">
      <c r="A55" s="157" t="s">
        <v>68</v>
      </c>
      <c r="B55" s="57" t="s">
        <v>69</v>
      </c>
      <c r="C55" s="69"/>
      <c r="D55" s="69" t="s">
        <v>70</v>
      </c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>
        <v>1</v>
      </c>
      <c r="P55" s="80"/>
      <c r="Q55" s="80">
        <v>1</v>
      </c>
      <c r="R55" s="80"/>
      <c r="S55" s="80">
        <v>1</v>
      </c>
      <c r="T55" s="80"/>
      <c r="U55" s="80"/>
      <c r="V55" s="80"/>
      <c r="W55" s="80"/>
      <c r="X55" s="80"/>
      <c r="Y55" s="80"/>
      <c r="Z55" s="80"/>
      <c r="AA55" s="80"/>
      <c r="AB55" s="80"/>
      <c r="AC55" s="80">
        <v>1</v>
      </c>
      <c r="AD55" s="40"/>
      <c r="AE55" s="40">
        <v>1</v>
      </c>
      <c r="AF55" s="40"/>
      <c r="AG55" s="40">
        <v>1</v>
      </c>
      <c r="AH55" s="40"/>
      <c r="AI55" s="40">
        <v>1</v>
      </c>
      <c r="AJ55" s="40"/>
      <c r="AK55" s="40">
        <v>1</v>
      </c>
      <c r="AL55" s="69"/>
      <c r="AM55" s="159">
        <v>1</v>
      </c>
      <c r="AN55" s="159"/>
      <c r="AO55" s="158">
        <f>SUM(Table13[[#This Row],[1986]:[2021]])</f>
        <v>8</v>
      </c>
    </row>
    <row r="56" spans="1:41" x14ac:dyDescent="0.35">
      <c r="A56" s="157" t="s">
        <v>73</v>
      </c>
      <c r="B56" s="57" t="s">
        <v>74</v>
      </c>
      <c r="C56" s="69" t="s">
        <v>140</v>
      </c>
      <c r="D56" s="69" t="s">
        <v>159</v>
      </c>
      <c r="E56" s="80"/>
      <c r="F56" s="80"/>
      <c r="G56" s="80"/>
      <c r="H56" s="80"/>
      <c r="I56" s="80"/>
      <c r="J56" s="80">
        <v>1</v>
      </c>
      <c r="K56" s="80"/>
      <c r="L56" s="80"/>
      <c r="M56" s="80"/>
      <c r="N56" s="80"/>
      <c r="O56" s="80">
        <v>1</v>
      </c>
      <c r="P56" s="80">
        <v>1</v>
      </c>
      <c r="Q56" s="80"/>
      <c r="R56" s="80">
        <v>1</v>
      </c>
      <c r="S56" s="80"/>
      <c r="T56" s="80"/>
      <c r="U56" s="80"/>
      <c r="V56" s="40"/>
      <c r="W56" s="40"/>
      <c r="X56" s="40"/>
      <c r="Y56" s="40"/>
      <c r="Z56" s="40"/>
      <c r="AA56" s="40"/>
      <c r="AB56" s="40"/>
      <c r="AC56" s="80"/>
      <c r="AD56" s="40"/>
      <c r="AE56" s="80"/>
      <c r="AF56" s="40"/>
      <c r="AG56" s="40"/>
      <c r="AH56" s="40"/>
      <c r="AI56" s="40"/>
      <c r="AJ56" s="40"/>
      <c r="AK56" s="40"/>
      <c r="AL56" s="69"/>
      <c r="AM56" s="159"/>
      <c r="AN56" s="159"/>
      <c r="AO56" s="158">
        <f>SUM(Table13[[#This Row],[1986]:[2021]])</f>
        <v>4</v>
      </c>
    </row>
    <row r="57" spans="1:41" x14ac:dyDescent="0.35">
      <c r="A57" s="157" t="s">
        <v>73</v>
      </c>
      <c r="B57" s="57" t="s">
        <v>74</v>
      </c>
      <c r="C57" s="69" t="s">
        <v>140</v>
      </c>
      <c r="D57" s="69" t="s">
        <v>158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>
        <v>1</v>
      </c>
      <c r="W57" s="80"/>
      <c r="X57" s="80"/>
      <c r="Y57" s="80"/>
      <c r="Z57" s="80">
        <v>1</v>
      </c>
      <c r="AA57" s="40"/>
      <c r="AB57" s="40"/>
      <c r="AC57" s="80"/>
      <c r="AD57" s="40"/>
      <c r="AE57" s="80"/>
      <c r="AF57" s="80"/>
      <c r="AG57" s="40"/>
      <c r="AH57" s="40"/>
      <c r="AI57" s="40"/>
      <c r="AJ57" s="40"/>
      <c r="AK57" s="40"/>
      <c r="AL57" s="159"/>
      <c r="AM57" s="171"/>
      <c r="AN57" s="171"/>
      <c r="AO57" s="160">
        <f>SUM(Table13[[#This Row],[1986]:[2021]])</f>
        <v>2</v>
      </c>
    </row>
    <row r="58" spans="1:41" x14ac:dyDescent="0.35">
      <c r="A58" s="157" t="s">
        <v>73</v>
      </c>
      <c r="B58" s="57" t="s">
        <v>23</v>
      </c>
      <c r="C58" s="69" t="s">
        <v>140</v>
      </c>
      <c r="D58" s="69" t="s">
        <v>75</v>
      </c>
      <c r="E58" s="80"/>
      <c r="F58" s="80"/>
      <c r="G58" s="80"/>
      <c r="H58" s="80"/>
      <c r="I58" s="8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80">
        <v>1</v>
      </c>
      <c r="AB58" s="80">
        <v>1</v>
      </c>
      <c r="AC58" s="40">
        <v>1</v>
      </c>
      <c r="AD58" s="40"/>
      <c r="AE58" s="40"/>
      <c r="AF58" s="40"/>
      <c r="AG58" s="40"/>
      <c r="AH58" s="40"/>
      <c r="AI58" s="40"/>
      <c r="AJ58" s="40"/>
      <c r="AK58" s="40"/>
      <c r="AL58" s="69"/>
      <c r="AM58" s="159"/>
      <c r="AN58" s="159"/>
      <c r="AO58" s="158">
        <f>SUM(Table13[[#This Row],[1986]:[2021]])</f>
        <v>3</v>
      </c>
    </row>
    <row r="59" spans="1:41" x14ac:dyDescent="0.35">
      <c r="A59" s="157" t="s">
        <v>73</v>
      </c>
      <c r="B59" s="57" t="s">
        <v>74</v>
      </c>
      <c r="C59" s="69" t="s">
        <v>140</v>
      </c>
      <c r="D59" s="69" t="s">
        <v>160</v>
      </c>
      <c r="E59" s="80"/>
      <c r="F59" s="80"/>
      <c r="G59" s="80"/>
      <c r="H59" s="80"/>
      <c r="I59" s="8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80"/>
      <c r="AB59" s="80"/>
      <c r="AC59" s="80"/>
      <c r="AD59" s="40"/>
      <c r="AE59" s="80">
        <v>1</v>
      </c>
      <c r="AF59" s="80"/>
      <c r="AG59" s="40"/>
      <c r="AH59" s="40"/>
      <c r="AI59" s="40"/>
      <c r="AJ59" s="40"/>
      <c r="AK59" s="40"/>
      <c r="AL59" s="159"/>
      <c r="AM59" s="171"/>
      <c r="AN59" s="171"/>
      <c r="AO59" s="160">
        <f>SUM(Table13[[#This Row],[1986]:[2021]])</f>
        <v>1</v>
      </c>
    </row>
    <row r="60" spans="1:41" x14ac:dyDescent="0.35">
      <c r="A60" s="157" t="s">
        <v>76</v>
      </c>
      <c r="B60" s="57" t="s">
        <v>77</v>
      </c>
      <c r="C60" s="69" t="s">
        <v>140</v>
      </c>
      <c r="D60" s="69" t="s">
        <v>161</v>
      </c>
      <c r="E60" s="80"/>
      <c r="F60" s="80"/>
      <c r="G60" s="80"/>
      <c r="H60" s="80">
        <v>1</v>
      </c>
      <c r="I60" s="80"/>
      <c r="J60" s="80"/>
      <c r="K60" s="80"/>
      <c r="L60" s="80">
        <v>1</v>
      </c>
      <c r="M60" s="80">
        <v>1</v>
      </c>
      <c r="N60" s="80">
        <v>1</v>
      </c>
      <c r="O60" s="80">
        <v>1</v>
      </c>
      <c r="P60" s="80">
        <v>1</v>
      </c>
      <c r="Q60" s="80">
        <v>1</v>
      </c>
      <c r="R60" s="80">
        <v>1</v>
      </c>
      <c r="S60" s="80">
        <v>1</v>
      </c>
      <c r="T60" s="80">
        <v>1</v>
      </c>
      <c r="U60" s="80">
        <v>1</v>
      </c>
      <c r="V60" s="80">
        <v>1</v>
      </c>
      <c r="W60" s="80">
        <v>1</v>
      </c>
      <c r="X60" s="80">
        <v>1</v>
      </c>
      <c r="Y60" s="80">
        <v>1</v>
      </c>
      <c r="Z60" s="80">
        <v>1</v>
      </c>
      <c r="AA60" s="80">
        <v>1</v>
      </c>
      <c r="AB60" s="80"/>
      <c r="AC60" s="80"/>
      <c r="AD60" s="40"/>
      <c r="AE60" s="40"/>
      <c r="AF60" s="40"/>
      <c r="AG60" s="40"/>
      <c r="AH60" s="40"/>
      <c r="AI60" s="40"/>
      <c r="AJ60" s="40"/>
      <c r="AK60" s="40"/>
      <c r="AL60" s="69"/>
      <c r="AM60" s="159"/>
      <c r="AN60" s="159"/>
      <c r="AO60" s="158">
        <f>SUM(Table13[[#This Row],[1986]:[2021]])</f>
        <v>17</v>
      </c>
    </row>
    <row r="61" spans="1:41" x14ac:dyDescent="0.35">
      <c r="A61" s="157" t="s">
        <v>76</v>
      </c>
      <c r="B61" s="57" t="s">
        <v>44</v>
      </c>
      <c r="C61" s="69" t="s">
        <v>140</v>
      </c>
      <c r="D61" s="69" t="s">
        <v>78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>
        <v>1</v>
      </c>
      <c r="AC61" s="80">
        <v>1</v>
      </c>
      <c r="AD61" s="40">
        <v>1</v>
      </c>
      <c r="AE61" s="40">
        <v>1</v>
      </c>
      <c r="AF61" s="40">
        <v>1</v>
      </c>
      <c r="AG61" s="40">
        <v>1</v>
      </c>
      <c r="AH61" s="40">
        <v>1</v>
      </c>
      <c r="AI61" s="40">
        <v>1</v>
      </c>
      <c r="AJ61" s="40">
        <v>1</v>
      </c>
      <c r="AK61" s="40"/>
      <c r="AL61" s="69"/>
      <c r="AM61" s="159">
        <v>1</v>
      </c>
      <c r="AN61" s="159"/>
      <c r="AO61" s="158">
        <f>SUM(Table13[[#This Row],[1986]:[2021]])</f>
        <v>9</v>
      </c>
    </row>
    <row r="62" spans="1:41" x14ac:dyDescent="0.35">
      <c r="A62" s="157" t="s">
        <v>79</v>
      </c>
      <c r="B62" s="57" t="s">
        <v>80</v>
      </c>
      <c r="C62" s="163"/>
      <c r="D62" s="69" t="s">
        <v>162</v>
      </c>
      <c r="E62" s="80"/>
      <c r="F62" s="80"/>
      <c r="G62" s="80">
        <v>1</v>
      </c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40"/>
      <c r="AE62" s="80"/>
      <c r="AF62" s="80"/>
      <c r="AG62" s="40"/>
      <c r="AH62" s="40"/>
      <c r="AI62" s="40"/>
      <c r="AJ62" s="40"/>
      <c r="AK62" s="40"/>
      <c r="AL62" s="159"/>
      <c r="AM62" s="171"/>
      <c r="AN62" s="171"/>
      <c r="AO62" s="160">
        <f>SUM(Table13[[#This Row],[1986]:[2021]])</f>
        <v>1</v>
      </c>
    </row>
    <row r="63" spans="1:41" x14ac:dyDescent="0.35">
      <c r="A63" s="157" t="s">
        <v>79</v>
      </c>
      <c r="B63" s="57" t="s">
        <v>80</v>
      </c>
      <c r="C63" s="163"/>
      <c r="D63" s="69" t="s">
        <v>149</v>
      </c>
      <c r="E63" s="80"/>
      <c r="F63" s="80"/>
      <c r="G63" s="80"/>
      <c r="H63" s="80">
        <v>1</v>
      </c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40"/>
      <c r="AE63" s="80"/>
      <c r="AF63" s="80"/>
      <c r="AG63" s="40"/>
      <c r="AH63" s="40"/>
      <c r="AI63" s="40"/>
      <c r="AJ63" s="40"/>
      <c r="AK63" s="40"/>
      <c r="AL63" s="159"/>
      <c r="AM63" s="171"/>
      <c r="AN63" s="171"/>
      <c r="AO63" s="160">
        <f>SUM(Table13[[#This Row],[1986]:[2021]])</f>
        <v>1</v>
      </c>
    </row>
    <row r="64" spans="1:41" x14ac:dyDescent="0.35">
      <c r="A64" s="157" t="s">
        <v>79</v>
      </c>
      <c r="B64" s="57" t="s">
        <v>80</v>
      </c>
      <c r="C64" s="163"/>
      <c r="D64" s="69" t="s">
        <v>143</v>
      </c>
      <c r="E64" s="80"/>
      <c r="F64" s="80"/>
      <c r="G64" s="80"/>
      <c r="H64" s="80"/>
      <c r="I64" s="80">
        <v>1</v>
      </c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40"/>
      <c r="AE64" s="80"/>
      <c r="AF64" s="80"/>
      <c r="AG64" s="40"/>
      <c r="AH64" s="40"/>
      <c r="AI64" s="40"/>
      <c r="AJ64" s="40"/>
      <c r="AK64" s="40"/>
      <c r="AL64" s="159"/>
      <c r="AM64" s="171"/>
      <c r="AN64" s="171"/>
      <c r="AO64" s="160">
        <f>SUM(Table13[[#This Row],[1986]:[2021]])</f>
        <v>1</v>
      </c>
    </row>
    <row r="65" spans="1:41" x14ac:dyDescent="0.35">
      <c r="A65" s="157" t="s">
        <v>79</v>
      </c>
      <c r="B65" s="57" t="s">
        <v>80</v>
      </c>
      <c r="C65" s="163"/>
      <c r="D65" s="69" t="s">
        <v>163</v>
      </c>
      <c r="E65" s="80"/>
      <c r="F65" s="80"/>
      <c r="G65" s="80"/>
      <c r="H65" s="80"/>
      <c r="I65" s="80"/>
      <c r="J65" s="80">
        <v>1</v>
      </c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40"/>
      <c r="AE65" s="80"/>
      <c r="AF65" s="80"/>
      <c r="AG65" s="40"/>
      <c r="AH65" s="40"/>
      <c r="AI65" s="40"/>
      <c r="AJ65" s="40"/>
      <c r="AK65" s="40"/>
      <c r="AL65" s="159"/>
      <c r="AM65" s="171"/>
      <c r="AN65" s="171"/>
      <c r="AO65" s="160">
        <f>SUM(Table13[[#This Row],[1986]:[2021]])</f>
        <v>1</v>
      </c>
    </row>
    <row r="66" spans="1:41" x14ac:dyDescent="0.35">
      <c r="A66" s="157" t="s">
        <v>79</v>
      </c>
      <c r="B66" s="57" t="s">
        <v>80</v>
      </c>
      <c r="C66" s="163"/>
      <c r="D66" s="69" t="s">
        <v>164</v>
      </c>
      <c r="E66" s="80"/>
      <c r="F66" s="80"/>
      <c r="G66" s="80"/>
      <c r="H66" s="80"/>
      <c r="I66" s="80"/>
      <c r="J66" s="80"/>
      <c r="K66" s="80">
        <v>1</v>
      </c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/>
      <c r="AO66" s="160">
        <f>SUM(Table13[[#This Row],[1986]:[2021]])</f>
        <v>1</v>
      </c>
    </row>
    <row r="67" spans="1:41" x14ac:dyDescent="0.35">
      <c r="A67" s="157" t="s">
        <v>79</v>
      </c>
      <c r="B67" s="57" t="s">
        <v>80</v>
      </c>
      <c r="C67" s="69"/>
      <c r="D67" s="69" t="s">
        <v>156</v>
      </c>
      <c r="E67" s="80"/>
      <c r="F67" s="80"/>
      <c r="G67" s="80"/>
      <c r="H67" s="80"/>
      <c r="I67" s="80"/>
      <c r="J67" s="80"/>
      <c r="K67" s="80"/>
      <c r="L67" s="80">
        <v>1</v>
      </c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40"/>
      <c r="AF67" s="40"/>
      <c r="AG67" s="40"/>
      <c r="AH67" s="40"/>
      <c r="AI67" s="40"/>
      <c r="AJ67" s="40"/>
      <c r="AK67" s="40"/>
      <c r="AL67" s="69"/>
      <c r="AM67" s="159"/>
      <c r="AN67" s="159"/>
      <c r="AO67" s="158">
        <f>SUM(Table13[[#This Row],[1986]:[2021]])</f>
        <v>1</v>
      </c>
    </row>
    <row r="68" spans="1:41" x14ac:dyDescent="0.35">
      <c r="A68" s="157" t="s">
        <v>79</v>
      </c>
      <c r="B68" s="57" t="s">
        <v>80</v>
      </c>
      <c r="C68" s="69"/>
      <c r="D68" s="69" t="s">
        <v>70</v>
      </c>
      <c r="E68" s="80"/>
      <c r="F68" s="80"/>
      <c r="G68" s="80"/>
      <c r="H68" s="80"/>
      <c r="I68" s="80"/>
      <c r="J68" s="80"/>
      <c r="K68" s="80"/>
      <c r="L68" s="80"/>
      <c r="M68" s="80">
        <v>1</v>
      </c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60">
        <f>SUM(Table13[[#This Row],[1986]:[2021]])</f>
        <v>1</v>
      </c>
    </row>
    <row r="69" spans="1:41" x14ac:dyDescent="0.35">
      <c r="A69" s="157" t="s">
        <v>79</v>
      </c>
      <c r="B69" s="57" t="s">
        <v>26</v>
      </c>
      <c r="C69" s="69"/>
      <c r="D69" s="69" t="s">
        <v>165</v>
      </c>
      <c r="E69" s="80"/>
      <c r="F69" s="80"/>
      <c r="G69" s="80"/>
      <c r="H69" s="80"/>
      <c r="I69" s="80"/>
      <c r="J69" s="80"/>
      <c r="K69" s="80"/>
      <c r="L69" s="80"/>
      <c r="M69" s="80"/>
      <c r="N69" s="80">
        <v>1</v>
      </c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60">
        <f>SUM(Table13[[#This Row],[1986]:[2021]])</f>
        <v>1</v>
      </c>
    </row>
    <row r="70" spans="1:41" x14ac:dyDescent="0.35">
      <c r="A70" s="157" t="s">
        <v>79</v>
      </c>
      <c r="B70" s="57" t="s">
        <v>82</v>
      </c>
      <c r="C70" s="69"/>
      <c r="D70" s="69" t="s">
        <v>166</v>
      </c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>
        <v>1</v>
      </c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159"/>
      <c r="AM70" s="171"/>
      <c r="AN70" s="171"/>
      <c r="AO70" s="160">
        <f>SUM(Table13[[#This Row],[1986]:[2021]])</f>
        <v>1</v>
      </c>
    </row>
    <row r="71" spans="1:41" x14ac:dyDescent="0.35">
      <c r="A71" s="157" t="s">
        <v>79</v>
      </c>
      <c r="B71" s="57" t="s">
        <v>82</v>
      </c>
      <c r="C71" s="69"/>
      <c r="D71" s="69" t="s">
        <v>70</v>
      </c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>
        <v>1</v>
      </c>
      <c r="Q71" s="80"/>
      <c r="R71" s="80"/>
      <c r="S71" s="80"/>
      <c r="T71" s="80">
        <v>1</v>
      </c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159"/>
      <c r="AM71" s="171"/>
      <c r="AN71" s="171"/>
      <c r="AO71" s="160">
        <f>SUM(Table13[[#This Row],[1986]:[2021]])</f>
        <v>2</v>
      </c>
    </row>
    <row r="72" spans="1:41" x14ac:dyDescent="0.35">
      <c r="A72" s="157" t="s">
        <v>79</v>
      </c>
      <c r="B72" s="57" t="s">
        <v>82</v>
      </c>
      <c r="C72" s="69"/>
      <c r="D72" s="69" t="s">
        <v>143</v>
      </c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>
        <v>1</v>
      </c>
      <c r="T72" s="80"/>
      <c r="U72" s="80"/>
      <c r="V72" s="80"/>
      <c r="W72" s="80">
        <v>1</v>
      </c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159"/>
      <c r="AM72" s="171"/>
      <c r="AN72" s="171"/>
      <c r="AO72" s="160">
        <f>SUM(Table13[[#This Row],[1986]:[2021]])</f>
        <v>2</v>
      </c>
    </row>
    <row r="73" spans="1:41" x14ac:dyDescent="0.35">
      <c r="A73" s="157" t="s">
        <v>79</v>
      </c>
      <c r="B73" s="57" t="s">
        <v>82</v>
      </c>
      <c r="C73" s="163"/>
      <c r="D73" s="69" t="s">
        <v>156</v>
      </c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>
        <v>1</v>
      </c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159"/>
      <c r="AM73" s="171"/>
      <c r="AN73" s="171"/>
      <c r="AO73" s="160">
        <f>SUM(Table13[[#This Row],[1986]:[2021]])</f>
        <v>1</v>
      </c>
    </row>
    <row r="74" spans="1:41" x14ac:dyDescent="0.35">
      <c r="A74" s="157" t="s">
        <v>79</v>
      </c>
      <c r="B74" s="57" t="s">
        <v>82</v>
      </c>
      <c r="C74" s="69"/>
      <c r="D74" s="69" t="s">
        <v>167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>
        <v>1</v>
      </c>
      <c r="W74" s="80"/>
      <c r="X74" s="80">
        <v>1</v>
      </c>
      <c r="Y74" s="80">
        <v>1</v>
      </c>
      <c r="Z74" s="80">
        <v>1</v>
      </c>
      <c r="AA74" s="80">
        <v>1</v>
      </c>
      <c r="AB74" s="80">
        <v>1</v>
      </c>
      <c r="AC74" s="80">
        <v>1</v>
      </c>
      <c r="AD74" s="80">
        <v>1</v>
      </c>
      <c r="AE74" s="80">
        <v>1</v>
      </c>
      <c r="AF74" s="80">
        <v>1</v>
      </c>
      <c r="AG74" s="80">
        <v>1</v>
      </c>
      <c r="AH74" s="80">
        <v>1</v>
      </c>
      <c r="AI74" s="80"/>
      <c r="AJ74" s="80"/>
      <c r="AK74" s="80"/>
      <c r="AL74" s="69"/>
      <c r="AM74" s="159"/>
      <c r="AN74" s="159"/>
      <c r="AO74" s="158">
        <f>SUM(Table13[[#This Row],[1986]:[2021]])</f>
        <v>12</v>
      </c>
    </row>
    <row r="75" spans="1:41" x14ac:dyDescent="0.35">
      <c r="A75" s="157" t="s">
        <v>79</v>
      </c>
      <c r="B75" s="57" t="s">
        <v>9</v>
      </c>
      <c r="C75" s="69"/>
      <c r="D75" s="69" t="s">
        <v>51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>
        <v>1</v>
      </c>
      <c r="AJ75" s="145"/>
      <c r="AK75" s="145">
        <v>1</v>
      </c>
      <c r="AL75" s="69">
        <v>1</v>
      </c>
      <c r="AM75" s="159">
        <v>1</v>
      </c>
      <c r="AN75" s="159"/>
      <c r="AO75" s="158">
        <f>SUM(Table13[[#This Row],[1986]:[2021]])</f>
        <v>3</v>
      </c>
    </row>
    <row r="76" spans="1:41" x14ac:dyDescent="0.35">
      <c r="A76" s="157" t="s">
        <v>83</v>
      </c>
      <c r="B76" s="57" t="s">
        <v>84</v>
      </c>
      <c r="C76" s="69"/>
      <c r="D76" s="69" t="s">
        <v>17</v>
      </c>
      <c r="E76" s="80"/>
      <c r="F76" s="80"/>
      <c r="G76" s="80"/>
      <c r="H76" s="80">
        <v>1</v>
      </c>
      <c r="I76" s="80"/>
      <c r="J76" s="80"/>
      <c r="K76" s="80">
        <v>1</v>
      </c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69"/>
      <c r="AM76" s="159"/>
      <c r="AN76" s="159"/>
      <c r="AO76" s="158">
        <f>SUM(Table13[[#This Row],[1986]:[2021]])</f>
        <v>2</v>
      </c>
    </row>
    <row r="77" spans="1:41" x14ac:dyDescent="0.35">
      <c r="A77" s="157" t="s">
        <v>83</v>
      </c>
      <c r="B77" s="57" t="s">
        <v>45</v>
      </c>
      <c r="C77" s="69"/>
      <c r="D77" s="69" t="s">
        <v>51</v>
      </c>
      <c r="E77" s="80"/>
      <c r="F77" s="80"/>
      <c r="G77" s="80"/>
      <c r="H77" s="80"/>
      <c r="I77" s="80"/>
      <c r="J77" s="80"/>
      <c r="K77" s="80"/>
      <c r="L77" s="80"/>
      <c r="M77" s="80"/>
      <c r="N77" s="80">
        <v>1</v>
      </c>
      <c r="O77" s="80">
        <v>1</v>
      </c>
      <c r="P77" s="80">
        <v>1</v>
      </c>
      <c r="Q77" s="80">
        <v>1</v>
      </c>
      <c r="R77" s="80">
        <v>1</v>
      </c>
      <c r="S77" s="80">
        <v>1</v>
      </c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80"/>
      <c r="AF77" s="80"/>
      <c r="AG77" s="40"/>
      <c r="AH77" s="40"/>
      <c r="AI77" s="40"/>
      <c r="AJ77" s="40"/>
      <c r="AK77" s="40"/>
      <c r="AL77" s="69"/>
      <c r="AM77" s="159"/>
      <c r="AN77" s="159"/>
      <c r="AO77" s="158">
        <f>SUM(Table13[[#This Row],[1986]:[2021]])</f>
        <v>6</v>
      </c>
    </row>
    <row r="78" spans="1:41" x14ac:dyDescent="0.35">
      <c r="A78" s="157" t="s">
        <v>83</v>
      </c>
      <c r="B78" s="57" t="s">
        <v>45</v>
      </c>
      <c r="C78" s="69"/>
      <c r="D78" s="69" t="s">
        <v>17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>
        <v>1</v>
      </c>
      <c r="U78" s="80">
        <v>1</v>
      </c>
      <c r="V78" s="80">
        <v>1</v>
      </c>
      <c r="W78" s="80">
        <v>1</v>
      </c>
      <c r="X78" s="80">
        <v>1</v>
      </c>
      <c r="Y78" s="80">
        <v>1</v>
      </c>
      <c r="Z78" s="80">
        <v>1</v>
      </c>
      <c r="AA78" s="80">
        <v>1</v>
      </c>
      <c r="AB78" s="80">
        <v>1</v>
      </c>
      <c r="AC78" s="80">
        <v>1</v>
      </c>
      <c r="AD78" s="80">
        <v>1</v>
      </c>
      <c r="AE78" s="80">
        <v>1</v>
      </c>
      <c r="AF78" s="80">
        <v>1</v>
      </c>
      <c r="AG78" s="80">
        <v>1</v>
      </c>
      <c r="AH78" s="80">
        <v>1</v>
      </c>
      <c r="AI78" s="80">
        <v>1</v>
      </c>
      <c r="AJ78" s="80">
        <v>1</v>
      </c>
      <c r="AK78" s="80">
        <v>1</v>
      </c>
      <c r="AL78" s="159">
        <v>1</v>
      </c>
      <c r="AM78" s="171">
        <v>1</v>
      </c>
      <c r="AN78" s="171"/>
      <c r="AO78" s="160">
        <f>SUM(Table13[[#This Row],[1986]:[2021]])</f>
        <v>19</v>
      </c>
    </row>
    <row r="79" spans="1:41" x14ac:dyDescent="0.35">
      <c r="A79" s="157" t="s">
        <v>85</v>
      </c>
      <c r="B79" s="57" t="s">
        <v>44</v>
      </c>
      <c r="C79" s="69"/>
      <c r="D79" s="69" t="s">
        <v>17</v>
      </c>
      <c r="E79" s="80"/>
      <c r="F79" s="80"/>
      <c r="G79" s="80"/>
      <c r="H79" s="80"/>
      <c r="I79" s="80"/>
      <c r="J79" s="80"/>
      <c r="K79" s="80"/>
      <c r="L79" s="80">
        <v>1</v>
      </c>
      <c r="M79" s="80">
        <v>1</v>
      </c>
      <c r="N79" s="80">
        <v>1</v>
      </c>
      <c r="O79" s="80">
        <v>1</v>
      </c>
      <c r="P79" s="80">
        <v>1</v>
      </c>
      <c r="Q79" s="80">
        <v>1</v>
      </c>
      <c r="R79" s="80">
        <v>1</v>
      </c>
      <c r="S79" s="80">
        <v>1</v>
      </c>
      <c r="T79" s="80">
        <v>1</v>
      </c>
      <c r="U79" s="80">
        <v>1</v>
      </c>
      <c r="V79" s="80">
        <v>1</v>
      </c>
      <c r="W79" s="80">
        <v>1</v>
      </c>
      <c r="X79" s="80">
        <v>1</v>
      </c>
      <c r="Y79" s="80">
        <v>1</v>
      </c>
      <c r="Z79" s="80">
        <v>1</v>
      </c>
      <c r="AA79" s="80">
        <v>1</v>
      </c>
      <c r="AB79" s="80">
        <v>1</v>
      </c>
      <c r="AC79" s="80">
        <v>1</v>
      </c>
      <c r="AD79" s="80">
        <v>1</v>
      </c>
      <c r="AE79" s="80">
        <v>1</v>
      </c>
      <c r="AF79" s="80">
        <v>1</v>
      </c>
      <c r="AG79" s="80">
        <v>1</v>
      </c>
      <c r="AH79" s="80">
        <v>1</v>
      </c>
      <c r="AI79" s="80">
        <v>1</v>
      </c>
      <c r="AJ79" s="80">
        <v>1</v>
      </c>
      <c r="AK79" s="80">
        <v>1</v>
      </c>
      <c r="AL79" s="69">
        <v>1</v>
      </c>
      <c r="AM79" s="159">
        <v>1</v>
      </c>
      <c r="AN79" s="159">
        <v>1</v>
      </c>
      <c r="AO79" s="158">
        <f>SUM(Table13[[#This Row],[1986]:[2021]])</f>
        <v>27</v>
      </c>
    </row>
    <row r="80" spans="1:41" x14ac:dyDescent="0.35">
      <c r="A80" s="157" t="s">
        <v>86</v>
      </c>
      <c r="B80" s="57" t="s">
        <v>23</v>
      </c>
      <c r="C80" s="69"/>
      <c r="D80" s="69" t="s">
        <v>10</v>
      </c>
      <c r="E80" s="80"/>
      <c r="F80" s="80"/>
      <c r="G80" s="80">
        <v>1</v>
      </c>
      <c r="H80" s="80">
        <v>1</v>
      </c>
      <c r="I80" s="80">
        <v>1</v>
      </c>
      <c r="J80" s="80">
        <v>1</v>
      </c>
      <c r="K80" s="80">
        <v>1</v>
      </c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159">
        <v>1</v>
      </c>
      <c r="AM80" s="171"/>
      <c r="AN80" s="171"/>
      <c r="AO80" s="160">
        <f>SUM(Table13[[#This Row],[1986]:[2021]])</f>
        <v>6</v>
      </c>
    </row>
    <row r="81" spans="1:41" x14ac:dyDescent="0.35">
      <c r="A81" s="157" t="s">
        <v>86</v>
      </c>
      <c r="B81" s="57" t="s">
        <v>23</v>
      </c>
      <c r="C81" s="69"/>
      <c r="D81" s="69" t="s">
        <v>17</v>
      </c>
      <c r="E81" s="80"/>
      <c r="F81" s="80"/>
      <c r="G81" s="40"/>
      <c r="H81" s="40"/>
      <c r="I81" s="40"/>
      <c r="J81" s="40"/>
      <c r="K81" s="40"/>
      <c r="L81" s="80">
        <v>1</v>
      </c>
      <c r="M81" s="80">
        <v>1</v>
      </c>
      <c r="N81" s="80">
        <v>1</v>
      </c>
      <c r="O81" s="80">
        <v>1</v>
      </c>
      <c r="P81" s="80">
        <v>1</v>
      </c>
      <c r="Q81" s="80">
        <v>1</v>
      </c>
      <c r="R81" s="80">
        <v>1</v>
      </c>
      <c r="S81" s="80">
        <v>1</v>
      </c>
      <c r="T81" s="80">
        <v>1</v>
      </c>
      <c r="U81" s="80">
        <v>1</v>
      </c>
      <c r="V81" s="80">
        <v>1</v>
      </c>
      <c r="W81" s="80">
        <v>1</v>
      </c>
      <c r="X81" s="80">
        <v>1</v>
      </c>
      <c r="Y81" s="80">
        <v>1</v>
      </c>
      <c r="Z81" s="80">
        <v>1</v>
      </c>
      <c r="AA81" s="80">
        <v>1</v>
      </c>
      <c r="AB81" s="80">
        <v>1</v>
      </c>
      <c r="AC81" s="80">
        <v>1</v>
      </c>
      <c r="AD81" s="80">
        <v>1</v>
      </c>
      <c r="AE81" s="80">
        <v>1</v>
      </c>
      <c r="AF81" s="80">
        <v>1</v>
      </c>
      <c r="AG81" s="80">
        <v>1</v>
      </c>
      <c r="AH81" s="80">
        <v>1</v>
      </c>
      <c r="AI81" s="80">
        <v>1</v>
      </c>
      <c r="AJ81" s="80">
        <v>1</v>
      </c>
      <c r="AK81" s="80">
        <v>1</v>
      </c>
      <c r="AL81" s="69"/>
      <c r="AM81" s="159">
        <v>1</v>
      </c>
      <c r="AN81" s="159"/>
      <c r="AO81" s="158">
        <f>SUM(Table13[[#This Row],[1986]:[2021]])</f>
        <v>26</v>
      </c>
    </row>
    <row r="82" spans="1:41" x14ac:dyDescent="0.35">
      <c r="A82" s="157" t="s">
        <v>87</v>
      </c>
      <c r="B82" s="57" t="s">
        <v>80</v>
      </c>
      <c r="C82" s="69"/>
      <c r="D82" s="69" t="s">
        <v>10</v>
      </c>
      <c r="E82" s="80"/>
      <c r="F82" s="80">
        <v>1</v>
      </c>
      <c r="G82" s="80"/>
      <c r="H82" s="80">
        <v>1</v>
      </c>
      <c r="I82" s="80">
        <v>1</v>
      </c>
      <c r="J82" s="80">
        <v>1</v>
      </c>
      <c r="K82" s="80">
        <v>1</v>
      </c>
      <c r="L82" s="80">
        <v>1</v>
      </c>
      <c r="M82" s="80">
        <v>1</v>
      </c>
      <c r="N82" s="80">
        <v>1</v>
      </c>
      <c r="O82" s="80">
        <v>1</v>
      </c>
      <c r="P82" s="80">
        <v>1</v>
      </c>
      <c r="Q82" s="80">
        <v>1</v>
      </c>
      <c r="R82" s="80">
        <v>1</v>
      </c>
      <c r="S82" s="80">
        <v>1</v>
      </c>
      <c r="T82" s="80">
        <v>1</v>
      </c>
      <c r="U82" s="80">
        <v>1</v>
      </c>
      <c r="V82" s="80">
        <v>1</v>
      </c>
      <c r="W82" s="80">
        <v>1</v>
      </c>
      <c r="X82" s="80">
        <v>1</v>
      </c>
      <c r="Y82" s="80">
        <v>1</v>
      </c>
      <c r="Z82" s="80">
        <v>1</v>
      </c>
      <c r="AA82" s="80">
        <v>1</v>
      </c>
      <c r="AB82" s="80">
        <v>1</v>
      </c>
      <c r="AC82" s="80">
        <v>1</v>
      </c>
      <c r="AD82" s="80">
        <v>1</v>
      </c>
      <c r="AE82" s="80">
        <v>1</v>
      </c>
      <c r="AF82" s="80">
        <v>1</v>
      </c>
      <c r="AG82" s="80"/>
      <c r="AH82" s="80"/>
      <c r="AI82" s="80"/>
      <c r="AJ82" s="80"/>
      <c r="AK82" s="80"/>
      <c r="AL82" s="69"/>
      <c r="AM82" s="159"/>
      <c r="AN82" s="159"/>
      <c r="AO82" s="158">
        <f>SUM(Table13[[#This Row],[1986]:[2021]])</f>
        <v>26</v>
      </c>
    </row>
    <row r="83" spans="1:41" x14ac:dyDescent="0.35">
      <c r="A83" s="157" t="s">
        <v>87</v>
      </c>
      <c r="B83" s="57" t="s">
        <v>59</v>
      </c>
      <c r="C83" s="69"/>
      <c r="D83" s="69" t="s">
        <v>17</v>
      </c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80"/>
      <c r="AF83" s="80"/>
      <c r="AG83" s="40">
        <v>1</v>
      </c>
      <c r="AH83" s="40">
        <v>1</v>
      </c>
      <c r="AI83" s="40">
        <v>1</v>
      </c>
      <c r="AJ83" s="40"/>
      <c r="AK83" s="40">
        <v>1</v>
      </c>
      <c r="AL83" s="69">
        <v>1</v>
      </c>
      <c r="AM83" s="159"/>
      <c r="AN83" s="159"/>
      <c r="AO83" s="158">
        <f>SUM(Table13[[#This Row],[1986]:[2021]])</f>
        <v>5</v>
      </c>
    </row>
    <row r="84" spans="1:41" x14ac:dyDescent="0.35">
      <c r="A84" s="157" t="s">
        <v>88</v>
      </c>
      <c r="B84" s="57" t="s">
        <v>168</v>
      </c>
      <c r="C84" s="69" t="s">
        <v>140</v>
      </c>
      <c r="D84" s="69" t="s">
        <v>17</v>
      </c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>
        <v>1</v>
      </c>
      <c r="Q84" s="40">
        <v>1</v>
      </c>
      <c r="R84" s="40">
        <v>1</v>
      </c>
      <c r="S84" s="40">
        <v>1</v>
      </c>
      <c r="T84" s="40">
        <v>1</v>
      </c>
      <c r="U84" s="40">
        <v>1</v>
      </c>
      <c r="V84" s="40">
        <v>1</v>
      </c>
      <c r="W84" s="40">
        <v>1</v>
      </c>
      <c r="X84" s="40">
        <v>1</v>
      </c>
      <c r="Y84" s="40">
        <v>1</v>
      </c>
      <c r="Z84" s="40">
        <v>1</v>
      </c>
      <c r="AA84" s="40">
        <v>1</v>
      </c>
      <c r="AB84" s="40">
        <v>1</v>
      </c>
      <c r="AC84" s="40">
        <v>1</v>
      </c>
      <c r="AD84" s="40">
        <v>1</v>
      </c>
      <c r="AE84" s="80">
        <v>1</v>
      </c>
      <c r="AF84" s="80">
        <v>1</v>
      </c>
      <c r="AG84" s="40"/>
      <c r="AH84" s="40"/>
      <c r="AI84" s="40"/>
      <c r="AJ84" s="40"/>
      <c r="AK84" s="40"/>
      <c r="AL84" s="69"/>
      <c r="AM84" s="159"/>
      <c r="AN84" s="159"/>
      <c r="AO84" s="158">
        <f>SUM(Table13[[#This Row],[1986]:[2021]])</f>
        <v>17</v>
      </c>
    </row>
    <row r="85" spans="1:41" x14ac:dyDescent="0.35">
      <c r="A85" s="164" t="s">
        <v>89</v>
      </c>
      <c r="B85" s="57" t="s">
        <v>67</v>
      </c>
      <c r="C85" s="163" t="s">
        <v>140</v>
      </c>
      <c r="D85" s="165" t="s">
        <v>169</v>
      </c>
      <c r="E85" s="165"/>
      <c r="F85" s="165"/>
      <c r="G85" s="165"/>
      <c r="H85" s="165"/>
      <c r="I85" s="165"/>
      <c r="J85" s="165"/>
      <c r="K85" s="165"/>
      <c r="L85" s="165"/>
      <c r="M85" s="165"/>
      <c r="N85" s="165"/>
      <c r="O85" s="165"/>
      <c r="P85" s="165"/>
      <c r="Q85" s="165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  <c r="AD85" s="165"/>
      <c r="AE85" s="166"/>
      <c r="AF85" s="166"/>
      <c r="AG85" s="165"/>
      <c r="AH85" s="165">
        <v>1</v>
      </c>
      <c r="AI85" s="165"/>
      <c r="AJ85" s="165"/>
      <c r="AK85" s="165"/>
      <c r="AL85" s="163"/>
      <c r="AM85" s="171"/>
      <c r="AN85" s="171"/>
      <c r="AO85" s="160">
        <f>SUM(Table13[[#This Row],[1986]:[2021]])</f>
        <v>1</v>
      </c>
    </row>
    <row r="86" spans="1:41" x14ac:dyDescent="0.35">
      <c r="A86" s="164" t="s">
        <v>89</v>
      </c>
      <c r="B86" s="57" t="s">
        <v>67</v>
      </c>
      <c r="C86" s="163" t="s">
        <v>140</v>
      </c>
      <c r="D86" s="69" t="s">
        <v>17</v>
      </c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80"/>
      <c r="AF86" s="80"/>
      <c r="AG86" s="40"/>
      <c r="AH86" s="40"/>
      <c r="AI86" s="40"/>
      <c r="AJ86" s="40"/>
      <c r="AK86" s="40"/>
      <c r="AL86" s="159"/>
      <c r="AM86" s="171">
        <v>1</v>
      </c>
      <c r="AN86" s="171"/>
      <c r="AO86" s="160">
        <f>SUM(Table13[[#This Row],[1986]:[2021]])</f>
        <v>0</v>
      </c>
    </row>
    <row r="87" spans="1:41" x14ac:dyDescent="0.35">
      <c r="A87" s="164" t="s">
        <v>170</v>
      </c>
      <c r="B87" s="57" t="s">
        <v>16</v>
      </c>
      <c r="C87" s="163" t="s">
        <v>138</v>
      </c>
      <c r="D87" s="163" t="s">
        <v>51</v>
      </c>
      <c r="E87" s="165"/>
      <c r="F87" s="165"/>
      <c r="G87" s="165"/>
      <c r="H87" s="165"/>
      <c r="I87" s="165"/>
      <c r="J87" s="165"/>
      <c r="K87" s="165"/>
      <c r="L87" s="165"/>
      <c r="M87" s="165"/>
      <c r="N87" s="165"/>
      <c r="O87" s="165"/>
      <c r="P87" s="165"/>
      <c r="Q87" s="165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  <c r="AD87" s="165"/>
      <c r="AE87" s="166"/>
      <c r="AF87" s="166"/>
      <c r="AG87" s="165"/>
      <c r="AH87" s="165">
        <v>1</v>
      </c>
      <c r="AI87" s="165">
        <v>1</v>
      </c>
      <c r="AJ87" s="165">
        <v>1</v>
      </c>
      <c r="AK87" s="165"/>
      <c r="AL87" s="163"/>
      <c r="AM87" s="171"/>
      <c r="AN87" s="171"/>
      <c r="AO87" s="160">
        <f>SUM(Table13[[#This Row],[1986]:[2021]])</f>
        <v>3</v>
      </c>
    </row>
    <row r="88" spans="1:41" x14ac:dyDescent="0.35">
      <c r="A88" s="164" t="s">
        <v>170</v>
      </c>
      <c r="B88" s="57" t="s">
        <v>16</v>
      </c>
      <c r="C88" s="163" t="s">
        <v>138</v>
      </c>
      <c r="D88" s="163" t="s">
        <v>42</v>
      </c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80"/>
      <c r="AF88" s="80"/>
      <c r="AG88" s="40"/>
      <c r="AH88" s="40"/>
      <c r="AI88" s="40"/>
      <c r="AJ88" s="40"/>
      <c r="AK88" s="40"/>
      <c r="AL88" s="159">
        <v>1</v>
      </c>
      <c r="AM88" s="171"/>
      <c r="AN88" s="171"/>
      <c r="AO88" s="160">
        <f>SUM(Table13[[#This Row],[1986]:[2021]])</f>
        <v>1</v>
      </c>
    </row>
    <row r="89" spans="1:41" x14ac:dyDescent="0.35">
      <c r="A89" s="167" t="s">
        <v>90</v>
      </c>
      <c r="B89" s="168"/>
      <c r="C89" s="169"/>
      <c r="D89" s="170"/>
      <c r="E89" s="160">
        <f t="shared" ref="E89:AO89" si="0">SUM(E2:E87)</f>
        <v>1</v>
      </c>
      <c r="F89" s="160">
        <f t="shared" si="0"/>
        <v>3</v>
      </c>
      <c r="G89" s="160">
        <f t="shared" si="0"/>
        <v>10</v>
      </c>
      <c r="H89" s="160">
        <f t="shared" si="0"/>
        <v>11</v>
      </c>
      <c r="I89" s="160">
        <f t="shared" si="0"/>
        <v>13</v>
      </c>
      <c r="J89" s="160">
        <f t="shared" si="0"/>
        <v>13</v>
      </c>
      <c r="K89" s="160">
        <f t="shared" si="0"/>
        <v>14</v>
      </c>
      <c r="L89" s="160">
        <f t="shared" si="0"/>
        <v>15</v>
      </c>
      <c r="M89" s="160">
        <f t="shared" si="0"/>
        <v>17</v>
      </c>
      <c r="N89" s="160">
        <f t="shared" si="0"/>
        <v>16</v>
      </c>
      <c r="O89" s="160">
        <f t="shared" si="0"/>
        <v>16</v>
      </c>
      <c r="P89" s="160">
        <f t="shared" si="0"/>
        <v>17</v>
      </c>
      <c r="Q89" s="160">
        <f t="shared" si="0"/>
        <v>18</v>
      </c>
      <c r="R89" s="160">
        <f t="shared" si="0"/>
        <v>18</v>
      </c>
      <c r="S89" s="160">
        <f t="shared" si="0"/>
        <v>20</v>
      </c>
      <c r="T89" s="160">
        <f t="shared" si="0"/>
        <v>20</v>
      </c>
      <c r="U89" s="160">
        <f t="shared" si="0"/>
        <v>20</v>
      </c>
      <c r="V89" s="160">
        <f t="shared" si="0"/>
        <v>21</v>
      </c>
      <c r="W89" s="160">
        <f t="shared" si="0"/>
        <v>21</v>
      </c>
      <c r="X89" s="160">
        <f t="shared" si="0"/>
        <v>19</v>
      </c>
      <c r="Y89" s="160">
        <f t="shared" si="0"/>
        <v>19</v>
      </c>
      <c r="Z89" s="160">
        <f t="shared" si="0"/>
        <v>20</v>
      </c>
      <c r="AA89" s="160">
        <f t="shared" si="0"/>
        <v>18</v>
      </c>
      <c r="AB89" s="160">
        <f t="shared" si="0"/>
        <v>20</v>
      </c>
      <c r="AC89" s="160">
        <f t="shared" si="0"/>
        <v>21</v>
      </c>
      <c r="AD89" s="160">
        <f t="shared" si="0"/>
        <v>20</v>
      </c>
      <c r="AE89" s="160">
        <f t="shared" si="0"/>
        <v>21</v>
      </c>
      <c r="AF89" s="160">
        <f t="shared" si="0"/>
        <v>18</v>
      </c>
      <c r="AG89" s="160">
        <f t="shared" si="0"/>
        <v>18</v>
      </c>
      <c r="AH89" s="160">
        <f t="shared" si="0"/>
        <v>18</v>
      </c>
      <c r="AI89" s="160">
        <f t="shared" si="0"/>
        <v>18</v>
      </c>
      <c r="AJ89" s="160">
        <f t="shared" si="0"/>
        <v>15</v>
      </c>
      <c r="AK89" s="160">
        <f t="shared" si="0"/>
        <v>15</v>
      </c>
      <c r="AL89" s="160">
        <f t="shared" si="0"/>
        <v>13</v>
      </c>
      <c r="AM89" s="160">
        <f t="shared" si="0"/>
        <v>15</v>
      </c>
      <c r="AN89" s="160"/>
      <c r="AO89" s="160">
        <f t="shared" si="0"/>
        <v>557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265625" defaultRowHeight="14.5" x14ac:dyDescent="0.35"/>
  <cols>
    <col min="1" max="1" width="12" style="67" customWidth="1"/>
    <col min="2" max="3" width="10.26953125" style="72" customWidth="1"/>
    <col min="4" max="4" width="18.26953125" customWidth="1"/>
    <col min="5" max="5" width="25.26953125" style="67" customWidth="1"/>
    <col min="6" max="6" width="23.453125" style="100" customWidth="1"/>
    <col min="7" max="7" width="13.453125" style="100" customWidth="1"/>
    <col min="8" max="8" width="28" style="100" customWidth="1"/>
    <col min="9" max="9" width="14.453125" style="100" customWidth="1"/>
    <col min="10" max="10" width="34.7265625" style="101" customWidth="1"/>
    <col min="11" max="12" width="18.453125" style="100" customWidth="1"/>
    <col min="13" max="13" width="34.7265625" style="100" customWidth="1"/>
    <col min="14" max="14" width="18.453125" style="100" bestFit="1" customWidth="1"/>
    <col min="15" max="15" width="5.453125" style="100" customWidth="1"/>
    <col min="16" max="16" width="5.26953125" style="100" customWidth="1"/>
    <col min="17" max="18" width="6.453125" style="100" customWidth="1"/>
    <col min="19" max="19" width="4.453125" style="100" bestFit="1" customWidth="1"/>
    <col min="20" max="20" width="6.453125" style="100" customWidth="1"/>
    <col min="21" max="21" width="5.7265625" style="100" customWidth="1"/>
    <col min="22" max="22" width="4.453125" style="100" bestFit="1" customWidth="1"/>
    <col min="23" max="23" width="4.453125" style="100" customWidth="1"/>
    <col min="24" max="24" width="4.453125" style="100" bestFit="1" customWidth="1"/>
    <col min="25" max="25" width="3.453125" style="100" customWidth="1"/>
    <col min="26" max="26" width="7.453125" style="100" customWidth="1"/>
    <col min="27" max="27" width="3.453125" style="100" customWidth="1"/>
    <col min="28" max="28" width="4.453125" style="100" bestFit="1" customWidth="1"/>
    <col min="29" max="29" width="3.7265625" style="100" customWidth="1"/>
    <col min="30" max="30" width="6.453125" style="100" customWidth="1"/>
    <col min="31" max="31" width="4.453125" style="100" customWidth="1"/>
    <col min="32" max="32" width="13.7265625" style="100" customWidth="1"/>
    <col min="33" max="33" width="39" style="100" customWidth="1"/>
  </cols>
  <sheetData>
    <row r="1" spans="1:33" s="140" customFormat="1" ht="15" thickBot="1" x14ac:dyDescent="0.4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3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8" x14ac:dyDescent="0.35">
      <c r="A3" s="195" t="s">
        <v>359</v>
      </c>
      <c r="B3" s="195" t="s">
        <v>3</v>
      </c>
      <c r="C3" s="197" t="s">
        <v>360</v>
      </c>
      <c r="D3" s="131" t="s">
        <v>361</v>
      </c>
      <c r="E3" s="197" t="s">
        <v>362</v>
      </c>
      <c r="F3" s="199" t="s">
        <v>363</v>
      </c>
      <c r="G3" s="201" t="s">
        <v>364</v>
      </c>
      <c r="H3" s="199" t="s">
        <v>365</v>
      </c>
      <c r="I3" s="199" t="s">
        <v>366</v>
      </c>
      <c r="J3" s="199"/>
      <c r="K3" s="128" t="s">
        <v>367</v>
      </c>
      <c r="L3" s="128" t="s">
        <v>368</v>
      </c>
      <c r="M3" s="128" t="s">
        <v>369</v>
      </c>
      <c r="N3" s="127" t="s">
        <v>370</v>
      </c>
      <c r="O3" s="205" t="s">
        <v>371</v>
      </c>
      <c r="P3" s="205"/>
      <c r="Q3" s="205" t="s">
        <v>372</v>
      </c>
      <c r="R3" s="205"/>
      <c r="S3" s="205" t="s">
        <v>373</v>
      </c>
      <c r="T3" s="205"/>
      <c r="U3" s="204" t="s">
        <v>374</v>
      </c>
      <c r="V3" s="204"/>
      <c r="W3" s="204" t="s">
        <v>375</v>
      </c>
      <c r="X3" s="204"/>
      <c r="Y3" s="204" t="s">
        <v>376</v>
      </c>
      <c r="Z3" s="204"/>
      <c r="AA3" s="204" t="s">
        <v>377</v>
      </c>
      <c r="AB3" s="204"/>
      <c r="AC3" s="204" t="s">
        <v>378</v>
      </c>
      <c r="AD3" s="204"/>
      <c r="AE3" s="193" t="s">
        <v>379</v>
      </c>
      <c r="AF3" s="194"/>
      <c r="AG3" s="125" t="s">
        <v>380</v>
      </c>
    </row>
    <row r="4" spans="1:33" s="124" customFormat="1" ht="13.15" customHeight="1" x14ac:dyDescent="0.35">
      <c r="A4" s="196"/>
      <c r="B4" s="196"/>
      <c r="C4" s="198"/>
      <c r="D4" s="129"/>
      <c r="E4" s="198"/>
      <c r="F4" s="200"/>
      <c r="G4" s="202"/>
      <c r="H4" s="200"/>
      <c r="I4" s="200"/>
      <c r="J4" s="200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01.5" x14ac:dyDescent="0.3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8" x14ac:dyDescent="0.3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20" x14ac:dyDescent="0.3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3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3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2.5" x14ac:dyDescent="0.3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5" x14ac:dyDescent="0.3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3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3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3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15.5" x14ac:dyDescent="0.3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6" x14ac:dyDescent="0.3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3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3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2" x14ac:dyDescent="0.3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3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3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1.5" x14ac:dyDescent="0.3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3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3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203"/>
      <c r="J25" s="57"/>
    </row>
    <row r="26" spans="1:33" x14ac:dyDescent="0.35">
      <c r="D26" s="104" t="s">
        <v>453</v>
      </c>
      <c r="E26" s="103" t="s">
        <v>455</v>
      </c>
      <c r="I26" s="203"/>
      <c r="J26" s="57"/>
    </row>
    <row r="27" spans="1:33" x14ac:dyDescent="0.35">
      <c r="D27" s="104" t="s">
        <v>456</v>
      </c>
      <c r="E27" s="104" t="s">
        <v>457</v>
      </c>
      <c r="I27" s="203"/>
      <c r="J27" s="57"/>
    </row>
    <row r="28" spans="1:33" x14ac:dyDescent="0.35">
      <c r="D28" s="104" t="s">
        <v>456</v>
      </c>
      <c r="E28" s="104" t="s">
        <v>458</v>
      </c>
      <c r="I28" s="203"/>
      <c r="J28" s="57"/>
    </row>
    <row r="29" spans="1:33" x14ac:dyDescent="0.35">
      <c r="D29" s="104" t="s">
        <v>456</v>
      </c>
      <c r="E29" s="103" t="s">
        <v>459</v>
      </c>
    </row>
    <row r="31" spans="1:33" x14ac:dyDescent="0.35">
      <c r="B31" s="102" t="s">
        <v>460</v>
      </c>
    </row>
    <row r="34" spans="2:2" x14ac:dyDescent="0.3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I25:I28"/>
    <mergeCell ref="AC3:AD3"/>
    <mergeCell ref="O3:P3"/>
    <mergeCell ref="Q3:R3"/>
    <mergeCell ref="S3:T3"/>
    <mergeCell ref="U3:V3"/>
    <mergeCell ref="W3:X3"/>
    <mergeCell ref="Y3:Z3"/>
    <mergeCell ref="AA3:AB3"/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0.5" x14ac:dyDescent="0.35"/>
  <cols>
    <col min="1" max="1" width="4" style="29" bestFit="1" customWidth="1"/>
    <col min="2" max="2" width="34.453125" style="29" customWidth="1"/>
    <col min="3" max="3" width="42.26953125" style="26" customWidth="1"/>
    <col min="4" max="4" width="22.7265625" style="26" bestFit="1" customWidth="1"/>
    <col min="5" max="5" width="9.7265625" style="28" customWidth="1"/>
    <col min="6" max="16384" width="9" style="24"/>
  </cols>
  <sheetData>
    <row r="1" spans="1:5" ht="13" x14ac:dyDescent="0.35">
      <c r="A1" s="35" t="s">
        <v>171</v>
      </c>
      <c r="B1" s="24"/>
      <c r="C1" s="22"/>
      <c r="D1" s="22"/>
      <c r="E1" s="23"/>
    </row>
    <row r="2" spans="1:5" ht="13" x14ac:dyDescent="0.35">
      <c r="A2" s="34"/>
      <c r="B2" s="24"/>
      <c r="C2" s="22"/>
      <c r="D2" s="22"/>
      <c r="E2" s="23"/>
    </row>
    <row r="3" spans="1:5" x14ac:dyDescent="0.3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3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3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3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35">
      <c r="A7" s="27"/>
      <c r="C7" s="26" t="s">
        <v>183</v>
      </c>
      <c r="D7" s="26" t="s">
        <v>184</v>
      </c>
      <c r="E7" s="28"/>
    </row>
    <row r="8" spans="1:5" s="26" customFormat="1" x14ac:dyDescent="0.3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3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3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3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3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3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3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3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3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3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3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3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3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35">
      <c r="A21" s="27"/>
      <c r="C21" s="26" t="s">
        <v>216</v>
      </c>
      <c r="D21" s="26" t="s">
        <v>217</v>
      </c>
      <c r="E21" s="28"/>
    </row>
    <row r="22" spans="1:5" s="26" customFormat="1" x14ac:dyDescent="0.35">
      <c r="A22" s="92"/>
      <c r="C22" s="26" t="s">
        <v>218</v>
      </c>
      <c r="D22" s="26">
        <v>1998</v>
      </c>
      <c r="E22" s="28"/>
    </row>
    <row r="23" spans="1:5" s="26" customFormat="1" x14ac:dyDescent="0.3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3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3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3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3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3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3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3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3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3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3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3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3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3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3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3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3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35"/>
  <cols>
    <col min="1" max="1" width="4" style="1" customWidth="1"/>
    <col min="2" max="2" width="4.453125" style="3" bestFit="1" customWidth="1"/>
    <col min="3" max="3" width="8.453125" style="3" bestFit="1" customWidth="1"/>
    <col min="4" max="4" width="10.26953125" style="3" bestFit="1" customWidth="1"/>
    <col min="5" max="5" width="8.26953125" style="3" bestFit="1" customWidth="1"/>
    <col min="6" max="6" width="11.453125" style="3" customWidth="1"/>
    <col min="7" max="7" width="2.26953125" style="1" customWidth="1"/>
    <col min="8" max="8" width="4.26953125" style="4" bestFit="1" customWidth="1"/>
    <col min="9" max="9" width="8.26953125" style="1" bestFit="1" customWidth="1"/>
    <col min="10" max="10" width="10.26953125" style="3" customWidth="1"/>
    <col min="11" max="11" width="8.26953125" style="3" customWidth="1"/>
    <col min="12" max="12" width="11.453125" style="3" bestFit="1" customWidth="1"/>
    <col min="13" max="16384" width="9" style="1"/>
  </cols>
  <sheetData>
    <row r="1" spans="2:12" ht="15" customHeight="1" x14ac:dyDescent="0.35">
      <c r="B1" s="222" t="s">
        <v>251</v>
      </c>
      <c r="C1" s="222"/>
      <c r="D1" s="222"/>
      <c r="E1" s="222"/>
      <c r="F1" s="222"/>
      <c r="G1" s="222"/>
      <c r="H1" s="222"/>
      <c r="I1" s="222"/>
      <c r="J1" s="222"/>
      <c r="K1" s="222"/>
      <c r="L1" s="1"/>
    </row>
    <row r="2" spans="2:12" ht="24" x14ac:dyDescent="0.3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35">
      <c r="B3" s="218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35">
      <c r="B4" s="215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35">
      <c r="B5" s="215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35">
      <c r="B6" s="219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3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35">
      <c r="B8" s="215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35">
      <c r="B9" s="215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35">
      <c r="B10" s="223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35">
      <c r="B11" s="224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35">
      <c r="B12" s="224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35">
      <c r="B13" s="225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35">
      <c r="B14" s="218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35">
      <c r="B15" s="215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35">
      <c r="B16" s="215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35">
      <c r="B17" s="219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35">
      <c r="B18" s="216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35">
      <c r="B19" s="217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35">
      <c r="B20" s="215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35">
      <c r="B21" s="215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35">
      <c r="B22" s="215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35">
      <c r="B23" s="215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35">
      <c r="B24" s="223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35">
      <c r="B25" s="224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35">
      <c r="B26" s="224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35">
      <c r="B27" s="224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35">
      <c r="B28" s="224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35">
      <c r="B29" s="224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35">
      <c r="B30" s="225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35">
      <c r="B31" s="215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35">
      <c r="B32" s="215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35">
      <c r="B33" s="215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35">
      <c r="B34" s="215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35">
      <c r="B35" s="220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35">
      <c r="B36" s="220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35">
      <c r="B37" s="220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35">
      <c r="B38" s="220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35">
      <c r="B39" s="219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35">
      <c r="B40" s="218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35">
      <c r="B41" s="223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35">
      <c r="B42" s="224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35">
      <c r="B43" s="224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35">
      <c r="B44" s="224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35">
      <c r="B45" s="225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35">
      <c r="B46" s="218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35">
      <c r="B47" s="215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35">
      <c r="B48" s="215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35">
      <c r="B49" s="219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35">
      <c r="B50" s="218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35">
      <c r="B51" s="215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35">
      <c r="B52" s="219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35">
      <c r="B53" s="224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35">
      <c r="B54" s="224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35">
      <c r="B55" s="224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35">
      <c r="B56" s="218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35">
      <c r="B57" s="215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35">
      <c r="B58" s="219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35">
      <c r="B59" s="223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35">
      <c r="B60" s="224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35">
      <c r="B61" s="224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35">
      <c r="B62" s="224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35">
      <c r="B63" s="224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35">
      <c r="B64" s="224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35">
      <c r="B65" s="225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35">
      <c r="B66" s="218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35">
      <c r="B67" s="215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35">
      <c r="B68" s="215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35">
      <c r="B69" s="219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35">
      <c r="B70" s="223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35">
      <c r="B71" s="224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35">
      <c r="B72" s="224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35">
      <c r="B73" s="224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35">
      <c r="B74" s="225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35">
      <c r="B75" s="219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35">
      <c r="B76" s="221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35">
      <c r="B77" s="218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35">
      <c r="B78" s="218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35">
      <c r="B79" s="223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35">
      <c r="B80" s="224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35">
      <c r="B81" s="224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35">
      <c r="B82" s="225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35">
      <c r="B83" s="215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35">
      <c r="B84" s="215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35">
      <c r="B85" s="216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35">
      <c r="B86" s="217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35">
      <c r="B87" s="215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35">
      <c r="B88" s="215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35">
      <c r="B89" s="215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35">
      <c r="B90" s="215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3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35">
      <c r="B92" s="221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35">
      <c r="B93" s="221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Cornejo Arias Dvaid Rolando</cp:lastModifiedBy>
  <cp:revision/>
  <dcterms:created xsi:type="dcterms:W3CDTF">2014-12-12T14:13:40Z</dcterms:created>
  <dcterms:modified xsi:type="dcterms:W3CDTF">2024-07-02T18:51:56Z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